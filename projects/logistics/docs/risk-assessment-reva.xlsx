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 風險評估" sheetId="1" state="visible" r:id="rId1"/>
    <sheet xmlns:r="http://schemas.openxmlformats.org/officeDocument/2006/relationships" name="Method 方法" sheetId="2" state="visible" r:id="rId2"/>
    <sheet xmlns:r="http://schemas.openxmlformats.org/officeDocument/2006/relationships" name="Safety Functions 安全功能" sheetId="3" state="visible" r:id="rId3"/>
    <sheet xmlns:r="http://schemas.openxmlformats.org/officeDocument/2006/relationships" name="High-risk Resolution 高風險處理" sheetId="4" state="visible" r:id="rId4"/>
    <sheet xmlns:r="http://schemas.openxmlformats.org/officeDocument/2006/relationships" name="Standards &amp; Verification 標準與驗證" sheetId="5" state="visible" r:id="rId5"/>
  </sheets>
  <definedNames>
    <definedName name="_xlnm._FilterDatabase" localSheetId="0" hidden="1">'Risk Assessment 風險評估'!$A$4:$Q$23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780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0000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7BDC3"/>
      </left>
      <right style="thin">
        <color rgb="00B7BDC3"/>
      </right>
      <top style="thin">
        <color rgb="00B7BDC3"/>
      </top>
      <bottom style="thin">
        <color rgb="00B7BDC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8A1010"/>
      </font>
      <fill>
        <patternFill patternType="solid">
          <fgColor rgb="00F8D0D0"/>
        </patternFill>
      </fill>
    </dxf>
    <dxf>
      <font>
        <name val="Arial"/>
        <b val="1"/>
        <color rgb="007A4A00"/>
      </font>
      <fill>
        <patternFill patternType="solid">
          <fgColor rgb="00FBE8C4"/>
        </patternFill>
      </fill>
    </dxf>
    <dxf>
      <font>
        <name val="Arial"/>
        <b val="1"/>
        <color rgb="001D5C2C"/>
      </font>
      <fill>
        <patternFill patternType="solid">
          <fgColor rgb="00D8F0DC"/>
        </patternFill>
      </fill>
    </dxf>
    <dxf>
      <font>
        <name val="Arial"/>
        <b val="1"/>
        <color rgb="003D474D"/>
      </font>
      <fill>
        <patternFill patternType="solid">
          <fgColor rgb="00E8EC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34" customWidth="1" min="4" max="4"/>
    <col width="30" customWidth="1" min="5" max="5"/>
    <col width="15" customWidth="1" min="6" max="6"/>
    <col width="15" customWidth="1" min="7" max="7"/>
    <col width="14" customWidth="1" min="8" max="8"/>
    <col width="60" customWidth="1" min="9" max="9"/>
    <col width="52" customWidth="1" min="10" max="10"/>
    <col width="24" customWidth="1" min="11" max="11"/>
    <col width="6" customWidth="1" min="12" max="12"/>
    <col width="10" customWidth="1" min="13" max="13"/>
    <col width="15" customWidth="1" min="14" max="14"/>
    <col width="15" customWidth="1" min="15" max="15"/>
    <col width="14" customWidth="1" min="16" max="16"/>
    <col width="26" customWidth="1" min="17" max="17"/>
  </cols>
  <sheetData>
    <row r="1">
      <c r="A1" s="1" t="inlineStr">
        <is>
          <t>Machine risk assessment · 機械風險評估 — Logistics application — cylinder shelf (R1 IRB 6700, L-fork) → picking loop → 3D vision picking (R2 / R3 IRB 1300) → item belt + bar-code arch → sortation into order cases (S1 / S2 IRB 930) on an 8-lane put wall; restock loop through the west port</t>
        </is>
      </c>
    </row>
    <row r="2">
      <c r="A2" s="2" t="inlineStr">
        <is>
          <t>ISO 12100:2010 · Doc RA-LOG-01 · RevA · Assessed by [NAME] · Date [DATE] · Yellow cells = inputs to check (Severity / Probability); risk levels are formulas from the Method sheet. · 黃色儲存格為待確認輸入（嚴重度／可能性）；風險等級由「Method」工作表公式查表。</t>
        </is>
      </c>
    </row>
    <row r="4" ht="32" customHeight="1">
      <c r="A4" s="3" t="inlineStr">
        <is>
          <t>ID</t>
        </is>
      </c>
      <c r="B4" s="3" t="inlineStr">
        <is>
          <t>Phase · zone (EN)</t>
        </is>
      </c>
      <c r="C4" s="3" t="inlineStr">
        <is>
          <t>階段 · 區域（繁中）</t>
        </is>
      </c>
      <c r="D4" s="3" t="inlineStr">
        <is>
          <t>Hazard (EN)</t>
        </is>
      </c>
      <c r="E4" s="3" t="inlineStr">
        <is>
          <t>危害（繁中）</t>
        </is>
      </c>
      <c r="F4" s="3" t="inlineStr">
        <is>
          <t>Initial S 初始嚴重度</t>
        </is>
      </c>
      <c r="G4" s="3" t="inlineStr">
        <is>
          <t>Initial P 初始可能性</t>
        </is>
      </c>
      <c r="H4" s="3" t="inlineStr">
        <is>
          <t>Initial risk 初始風險</t>
        </is>
      </c>
      <c r="I4" s="3" t="inlineStr">
        <is>
          <t>Risk reduction measures (EN) · 1 inherent · 2 safeguarding · 3 information</t>
        </is>
      </c>
      <c r="J4" s="3" t="inlineStr">
        <is>
          <t>風險降低措施（繁中）· 1 本質安全設計 · 2 安全防護 · 3 使用資訊</t>
        </is>
      </c>
      <c r="K4" s="3" t="inlineStr">
        <is>
          <t>Safety function 安全功能</t>
        </is>
      </c>
      <c r="L4" s="3" t="inlineStr">
        <is>
          <t>PLr</t>
        </is>
      </c>
      <c r="M4" s="3" t="inlineStr">
        <is>
          <t>PL achieved 達成 PL</t>
        </is>
      </c>
      <c r="N4" s="3" t="inlineStr">
        <is>
          <t>Residual S 殘餘嚴重度</t>
        </is>
      </c>
      <c r="O4" s="3" t="inlineStr">
        <is>
          <t>Residual P 殘餘可能性</t>
        </is>
      </c>
      <c r="P4" s="3" t="inlineStr">
        <is>
          <t>Residual risk 殘餘風險</t>
        </is>
      </c>
      <c r="Q4" s="3" t="inlineStr">
        <is>
          <t>Standards 標準</t>
        </is>
      </c>
    </row>
    <row r="5" ht="150" customHeight="1">
      <c r="A5" s="4" t="inlineStr">
        <is>
          <t>H1</t>
        </is>
      </c>
      <c r="B5" s="5" t="inlineStr">
        <is>
          <t>Automatic operation · R1 IRB 6700 inside the cylinder shelf (L-fork, bin ≤ 20 kg)</t>
        </is>
      </c>
      <c r="C5" s="5" t="inlineStr">
        <is>
          <t>自動運轉 · 圓筒料架內之 R1 IRB 6700（L 形貨叉，料箱 ≤ 20 kg）</t>
        </is>
      </c>
      <c r="D5" s="5" t="inlineStr">
        <is>
          <t>Mechanical · impact / crushing by R1 (TCP 2.5 m/s, fork 45 kg + bin) against the shelf, the conveyor heads in the east / west ports and the pedestal · a person in the ring (maintenance passage north, ports) · fatal injury</t>
        </is>
      </c>
      <c r="E5" s="5" t="inlineStr">
        <is>
          <t>機械性 · R1（TCP 2.5 m/s，貨叉 45 kg＋料箱）於料架、東／西埠輸送頭與基座間撞擊／夾壓 · 人員位於圓環內（北側維修通道、埠口）· 致命傷害</t>
        </is>
      </c>
      <c r="F5" s="6" t="inlineStr">
        <is>
          <t>Catastrophic 災難性</t>
        </is>
      </c>
      <c r="G5" s="6" t="inlineStr">
        <is>
          <t>Likely 可能</t>
        </is>
      </c>
      <c r="H5" s="4">
        <f>IFERROR(INDEX('Method 方法'!$B$6:$E$9,MATCH(F5,'Method 方法'!$A$6:$A$9,0),MATCH(G5,'Method 方法'!$B$5:$E$5,0)),"?")</f>
        <v/>
      </c>
      <c r="I5" s="5" t="inlineStr">
        <is>
          <t>1 The whole system is one guarded zone (fence H2000 round the cylinder, the loops, the picking and the sortation area); guard-locked doors north (in line with the cylinder passage) and south (SF3); the shelf itself is no guard.
2 Guard stop cat. 1 (SF1) on any door / scanner field; two OS32C on the R1 pedestal watch the ring interior (restart prevention, SF4).
3 SafeMove (SF2): R1 Safe Zone = ring interior + the four port heads, tool speed 2.5 m/s automatic / 250 mm/s T1; the fork reaches into the shelf only in front of the served column (verified 0 shelf contacts over 4 × 1 h, arm ≥ 0.02 m inside the shelf face outside the served column).</t>
        </is>
      </c>
      <c r="J5" s="5" t="inlineStr">
        <is>
          <t>1 整個系統為單一防護區（H2000 圍籬包圍圓筒、輸送迴路、揀貨與分揀區）；北側（與圓筒通道對齊）與南側門具防護鎖（SF3）；料架本身不作為防護。
2 任一門／掃描器防護區觸發時防護停止 cat. 1（SF1）；R1 基座上兩台 OS32C 監視圓環內部（防止重啟，SF4）。
3 SafeMove（SF2）：R1 Safe Zone = 圓環內部＋四個埠口輸送頭，自動時工具速度 2.5 m/s／T1 250 mm/s；貨叉僅於服務中之欄位前方伸入料架（4 × 1 h 驗證料架接觸 0 次，服務欄位以外手臂距料架面 ≥ 0.02 m）。</t>
        </is>
      </c>
      <c r="K5" s="5" t="inlineStr">
        <is>
          <t>SF1 guard stop 防護停止; SF2 SafeMove; SF4 restart prevention 防止重啟</t>
        </is>
      </c>
      <c r="L5" s="4" t="inlineStr">
        <is>
          <t>d</t>
        </is>
      </c>
      <c r="M5" s="4" t="inlineStr">
        <is>
          <t>d</t>
        </is>
      </c>
      <c r="N5" s="6" t="inlineStr">
        <is>
          <t>Catastrophic 災難性</t>
        </is>
      </c>
      <c r="O5" s="6" t="inlineStr">
        <is>
          <t>Remote 極少</t>
        </is>
      </c>
      <c r="P5" s="4">
        <f>IFERROR(INDEX('Method 方法'!$B$6:$E$9,MATCH(N5,'Method 方法'!$A$6:$A$9,0),MATCH(O5,'Method 方法'!$B$5:$E$5,0)),"?")</f>
        <v/>
      </c>
      <c r="Q5" s="5" t="inlineStr">
        <is>
          <t>ISO 10218-2, ISO 13849-1, ISO 14119, ISO 13855</t>
        </is>
      </c>
    </row>
    <row r="6" ht="150" customHeight="1">
      <c r="A6" s="4" t="inlineStr">
        <is>
          <t>H2</t>
        </is>
      </c>
      <c r="B6" s="5" t="inlineStr">
        <is>
          <t>Automatic operation · R2 / R3 IRB 1300 (picking) + S1 / S2 IRB 930 (sortation)</t>
        </is>
      </c>
      <c r="C6" s="5" t="inlineStr">
        <is>
          <t>自動運轉 · R2／R3 IRB 1300（揀貨）＋S1／S2 IRB 930（分揀）</t>
        </is>
      </c>
      <c r="D6" s="5" t="inlineStr">
        <is>
          <t>Mechanical · impact / crushing by R2 / R3 (2.2 m/s) between the picking loop, the camera gantries and the item belt, and by S1 / S2 (2.5 m/s, links at 1.3–1.7 m) between the belt, the put-wall hoods and the bar-code arch · fractures, head injury</t>
        </is>
      </c>
      <c r="E6" s="5" t="inlineStr">
        <is>
          <t>機械性 · R2／R3（2.2 m/s）於揀貨迴路、相機門架與物品輸送帶間，S1／S2（2.5 m/s，連桿高 1.3–1.7 m）於輸送帶、放置牆罩與條碼門架間撞擊／夾壓 · 骨折、頭部傷害</t>
        </is>
      </c>
      <c r="F6" s="6" t="inlineStr">
        <is>
          <t>Serious 嚴重</t>
        </is>
      </c>
      <c r="G6" s="6" t="inlineStr">
        <is>
          <t>Likely 可能</t>
        </is>
      </c>
      <c r="H6" s="4">
        <f>IFERROR(INDEX('Method 方法'!$B$6:$E$9,MATCH(F6,'Method 方法'!$A$6:$A$9,0),MATCH(G6,'Method 方法'!$B$5:$E$5,0)),"?")</f>
        <v/>
      </c>
      <c r="I6" s="5" t="inlineStr">
        <is>
          <t>1 Same guarded zone, doors and guard stop as H1 (SF1, SF3); no access in automatic.
2 SafeMove Safe Zones per robot (SF2), tool speed supervision; R2 / R3 swing between bin and belt round the west side of their base (no path over the base), S1 / S2 arcs ≤ 0.62 m from the base.
3 Verified over 4 × 1 h: robot ↔ robot ≥ 0.25 m (capsules, every pair), robot ↔ fixed equipment ≥ 0.058 m (S1 link 2 ↔ put-wall hood), tools ≥ 0.40 m inside the fence except the sorter cup over its lane head.</t>
        </is>
      </c>
      <c r="J6" s="5" t="inlineStr">
        <is>
          <t>1 與 H1 相同之防護區、門與防護停止（SF1、SF3）；自動運轉時無法進入。
2 每台機器人 SafeMove Safe Zone（SF2）、工具速度監視；R2／R3 於料箱與輸送帶間經基座西側迴轉（路徑不越過基座），S1／S2 弧線半徑 ≤ 0.62 m。
3 4 × 1 h 驗證：機器人間 ≥ 0.25 m（膠囊體，所有配對），機器人與固定設備 ≥ 0.058 m（S1 連桿 2 ↔ 放置牆罩），除分揀吸盤位於其通道端外工具距圍籬 ≥ 0.40 m。</t>
        </is>
      </c>
      <c r="K6" s="5" t="inlineStr">
        <is>
          <t>SF1 guard stop 防護停止; SF2 SafeMove</t>
        </is>
      </c>
      <c r="L6" s="4" t="inlineStr">
        <is>
          <t>d</t>
        </is>
      </c>
      <c r="M6" s="4" t="inlineStr">
        <is>
          <t>d</t>
        </is>
      </c>
      <c r="N6" s="6" t="inlineStr">
        <is>
          <t>Serious 嚴重</t>
        </is>
      </c>
      <c r="O6" s="6" t="inlineStr">
        <is>
          <t>Remote 極少</t>
        </is>
      </c>
      <c r="P6" s="4">
        <f>IFERROR(INDEX('Method 方法'!$B$6:$E$9,MATCH(N6,'Method 方法'!$A$6:$A$9,0),MATCH(O6,'Method 方法'!$B$5:$E$5,0)),"?")</f>
        <v/>
      </c>
      <c r="Q6" s="5" t="inlineStr">
        <is>
          <t>ISO 10218-2, ISO 13849-1, ISO 13855</t>
        </is>
      </c>
    </row>
    <row r="7" ht="150" customHeight="1">
      <c r="A7" s="4" t="inlineStr">
        <is>
          <t>H3</t>
        </is>
      </c>
      <c r="B7" s="5" t="inlineStr">
        <is>
          <t>Entry into the cylinder (north passage) · bin jams, shelf / R1 maintenance</t>
        </is>
      </c>
      <c r="C7" s="5" t="inlineStr">
        <is>
          <t>進入圓筒（北側通道）· 料箱卡料、料架／R1 維修</t>
        </is>
      </c>
      <c r="D7" s="5" t="inlineStr">
        <is>
          <t>A person inside the ring is hidden from outside by the full shelf (3.75 m); restart of R1 by a second person while someone is in the ring; trapping between the fork and the shelf face (0.15 m gap) · fatal</t>
        </is>
      </c>
      <c r="E7" s="5" t="inlineStr">
        <is>
          <t>圓環內人員被滿載料架（3.75 m）遮蔽而外部看不到；他人於有人在圓環內時重啟 R1；於貨叉與料架面間（0.15 m 間隙）受困 · 致命</t>
        </is>
      </c>
      <c r="F7" s="6" t="inlineStr">
        <is>
          <t>Catastrophic 災難性</t>
        </is>
      </c>
      <c r="G7" s="6" t="inlineStr">
        <is>
          <t>Unlikely 不太可能</t>
        </is>
      </c>
      <c r="H7" s="4">
        <f>IFERROR(INDEX('Method 方法'!$B$6:$E$9,MATCH(F7,'Method 方法'!$A$6:$A$9,0),MATCH(G7,'Method 方法'!$B$5:$E$5,0)),"?")</f>
        <v/>
      </c>
      <c r="I7" s="5" t="inlineStr">
        <is>
          <t>1 Entry only through the guard-locked north door with all robots in SafeMove Stand Still and the drives STO (SF3); personal padlock at the door handle (lockout per person, ISO 14118).
2 Reset only at the HMI outside and refused while either pedestal scanner (ring interior) or any field is occupied (SF4); no reset button inside the fence.
3 The ring passage (0.96 m, columns 7–8 left out) is the only way in — no climbing through the ports (conveyors, hood + curtain at the restock tunnel).</t>
        </is>
      </c>
      <c r="J7" s="5" t="inlineStr">
        <is>
          <t>1 僅能於所有機器人 SafeMove Stand Still 且驅動 STO 時經防護鎖北門進入（SF3）；門把設個人掛鎖（每人上鎖，ISO 14118）。
2 僅能於外部 HMI 復歸，任一基座掃描器（圓環內部）或任一防護區有人時拒絕（SF4）；圍籬內無復歸按鈕。
3 圓環通道（0.96 m，留空第 7–8 欄）為唯一入口 — 不得經埠口攀入（輸送機、補貨隧道之罩與光幕）。</t>
        </is>
      </c>
      <c r="K7" s="5" t="inlineStr">
        <is>
          <t>SF3 guard locking 防護鎖; SF4 restart prevention 防止重啟</t>
        </is>
      </c>
      <c r="L7" s="4" t="inlineStr">
        <is>
          <t>d</t>
        </is>
      </c>
      <c r="M7" s="4" t="inlineStr">
        <is>
          <t>d</t>
        </is>
      </c>
      <c r="N7" s="6" t="inlineStr">
        <is>
          <t>Catastrophic 災難性</t>
        </is>
      </c>
      <c r="O7" s="6" t="inlineStr">
        <is>
          <t>Remote 極少</t>
        </is>
      </c>
      <c r="P7" s="4">
        <f>IFERROR(INDEX('Method 方法'!$B$6:$E$9,MATCH(N7,'Method 方法'!$A$6:$A$9,0),MATCH(O7,'Method 方法'!$B$5:$E$5,0)),"?")</f>
        <v/>
      </c>
      <c r="Q7" s="5" t="inlineStr">
        <is>
          <t>ISO 14118, ISO 14119, ISO 13849-1, IEC 61496-3</t>
        </is>
      </c>
    </row>
    <row r="8" ht="150" customHeight="1">
      <c r="A8" s="4" t="inlineStr">
        <is>
          <t>H4</t>
        </is>
      </c>
      <c r="B8" s="5" t="inlineStr">
        <is>
          <t>Bins on the fork and in the shelf · falling objects</t>
        </is>
      </c>
      <c r="C8" s="5" t="inlineStr">
        <is>
          <t>貨叉上與料架中之料箱 · 物體掉落</t>
        </is>
      </c>
      <c r="D8" s="5" t="inlineStr">
        <is>
          <t>A bin (≤ 20 kg) or cartons falling from the fork or from a shelf level (up to 3.17 m) on a fork misalignment, an E-stop during transfer or a bin pushed over the back stop · head / foot injury</t>
        </is>
      </c>
      <c r="E8" s="5" t="inlineStr">
        <is>
          <t>料箱（≤ 20 kg）或紙箱於貨叉偏位、搬移中緊急停止或料箱被推越後擋時由貨叉或料架層（最高 3.17 m）掉落 · 頭部／足部傷害</t>
        </is>
      </c>
      <c r="F8" s="6" t="inlineStr">
        <is>
          <t>Serious 嚴重</t>
        </is>
      </c>
      <c r="G8" s="6" t="inlineStr">
        <is>
          <t>Unlikely 不太可能</t>
        </is>
      </c>
      <c r="H8" s="4">
        <f>IFERROR(INDEX('Method 方法'!$B$6:$E$9,MATCH(F8,'Method 方法'!$A$6:$A$9,0),MATCH(G8,'Method 方法'!$B$5:$E$5,0)),"?")</f>
        <v/>
      </c>
      <c r="I8" s="5" t="inlineStr">
        <is>
          <t>1 Fork with back rest and bin-present sensor; bins lifted 15 mm off the rails, in / out of a slot at ≤ 1.4 m/s, lowered at 0.3 m/s; back stops at r 2.62 m on every slot.
2 Nobody in or under the shelf in automatic (H1, H3); hard hat and safety shoes for ring entries; bins with a jam are cleared with the fork parked.
3 Shelf rails and stops inspected with the shelf (H5).</t>
        </is>
      </c>
      <c r="J8" s="5" t="inlineStr">
        <is>
          <t>1 貨叉具後擋與料箱檢知感測器；料箱離軌抬升 15 mm，進出料位 ≤ 1.4 m/s、下放 0.3 m/s；每一料位於 r 2.62 m 設後擋。
2 自動運轉時無人在料架內或下方（H1、H3）；進入圓環時戴安全帽與安全鞋；卡料料箱於貨叉停放後清除。
3 料架軌道與擋塊隨料架檢查（H5）。</t>
        </is>
      </c>
      <c r="K8" s="5" t="inlineStr">
        <is>
          <t>—</t>
        </is>
      </c>
      <c r="L8" s="4" t="inlineStr">
        <is>
          <t>—</t>
        </is>
      </c>
      <c r="M8" s="4" t="inlineStr">
        <is>
          <t>—</t>
        </is>
      </c>
      <c r="N8" s="6" t="inlineStr">
        <is>
          <t>Serious 嚴重</t>
        </is>
      </c>
      <c r="O8" s="6" t="inlineStr">
        <is>
          <t>Remote 極少</t>
        </is>
      </c>
      <c r="P8" s="4">
        <f>IFERROR(INDEX('Method 方法'!$B$6:$E$9,MATCH(N8,'Method 方法'!$A$6:$A$9,0),MATCH(O8,'Method 方法'!$B$5:$E$5,0)),"?")</f>
        <v/>
      </c>
      <c r="Q8" s="5" t="inlineStr">
        <is>
          <t>ISO 12100, EN 15512, EN 15635</t>
        </is>
      </c>
    </row>
    <row r="9" ht="150" customHeight="1">
      <c r="A9" s="4" t="inlineStr">
        <is>
          <t>H5</t>
        </is>
      </c>
      <c r="B9" s="5" t="inlineStr">
        <is>
          <t>Cylinder shelf structure · stability</t>
        </is>
      </c>
      <c r="C9" s="5" t="inlineStr">
        <is>
          <t>圓筒料架結構 · 穩定性</t>
        </is>
      </c>
      <c r="D9" s="5" t="inlineStr">
        <is>
          <t>Collapse or tipping of the 3.75 m ring (144 slots × ≤ 20 kg ≈ 2.9 t) under eccentric load, a fork collision or a seismic event · fatal</t>
        </is>
      </c>
      <c r="E9" s="5" t="inlineStr">
        <is>
          <t>3.75 m 圓環（144 料位 × ≤ 20 kg ≈ 2.9 t）於偏心載重、貨叉碰撞或地震時倒塌或傾倒 · 致命</t>
        </is>
      </c>
      <c r="F9" s="6" t="inlineStr">
        <is>
          <t>Catastrophic 災難性</t>
        </is>
      </c>
      <c r="G9" s="6" t="inlineStr">
        <is>
          <t>Unlikely 不太可能</t>
        </is>
      </c>
      <c r="H9" s="4">
        <f>IFERROR(INDEX('Method 方法'!$B$6:$E$9,MATCH(F9,'Method 方法'!$A$6:$A$9,0),MATCH(G9,'Method 方法'!$B$5:$E$5,0)),"?")</f>
        <v/>
      </c>
      <c r="I9" s="5" t="inlineStr">
        <is>
          <t>1 Shelf designed and anchored as a static steel storage system (EN 15512 / EN 15620 tolerances, floor anchors per column, top ring beam and X bracing on the outer face); load sign per level.
2 Fork collision prevented by SafeMove zones and the verified paths (H1); after any collision the shelf is inspected before restart (EN 15635, annual expert inspection).
3 Seismic design per site.</t>
        </is>
      </c>
      <c r="J9" s="5" t="inlineStr">
        <is>
          <t>1 料架依靜態鋼製儲存系統設計並錨定（EN 15512／EN 15620 公差、每柱地錨、頂部環樑與外側交叉斜撐）；每層標示載重。
2 以 SafeMove 區域與已驗證路徑防止貨叉碰撞（H1）；任何碰撞後於重啟前檢查料架（EN 15635，每年專家檢查）。
3 依現場進行耐震設計。</t>
        </is>
      </c>
      <c r="K9" s="5" t="inlineStr">
        <is>
          <t>—</t>
        </is>
      </c>
      <c r="L9" s="4" t="inlineStr">
        <is>
          <t>—</t>
        </is>
      </c>
      <c r="M9" s="4" t="inlineStr">
        <is>
          <t>—</t>
        </is>
      </c>
      <c r="N9" s="6" t="inlineStr">
        <is>
          <t>Catastrophic 災難性</t>
        </is>
      </c>
      <c r="O9" s="6" t="inlineStr">
        <is>
          <t>Remote 極少</t>
        </is>
      </c>
      <c r="P9" s="4">
        <f>IFERROR(INDEX('Method 方法'!$B$6:$E$9,MATCH(N9,'Method 方法'!$A$6:$A$9,0),MATCH(O9,'Method 方法'!$B$5:$E$5,0)),"?")</f>
        <v/>
      </c>
      <c r="Q9" s="5" t="inlineStr">
        <is>
          <t>EN 15512, EN 15620, EN 15635</t>
        </is>
      </c>
    </row>
    <row r="10" ht="150" customHeight="1">
      <c r="A10" s="4" t="inlineStr">
        <is>
          <t>H6</t>
        </is>
      </c>
      <c r="B10" s="5" t="inlineStr">
        <is>
          <t>Restock tunnel (west port) · empty bins out, refilled bins in</t>
        </is>
      </c>
      <c r="C10" s="5" t="inlineStr">
        <is>
          <t>補貨隧道（西埠）· 空料箱送出、補滿料箱送入</t>
        </is>
      </c>
      <c r="D10" s="5" t="inlineStr">
        <is>
          <t>A person reaching or crawling through the 1.3 × 1.1 m tunnel mouth along the conveyors to the R1 head (fork 1.85 m inside); in-running nips at the rollers and the right-angle transfer at the operator stop · fatal / crushing of hands</t>
        </is>
      </c>
      <c r="E10" s="5" t="inlineStr">
        <is>
          <t>人員經 1.3 × 1.1 m 隧道口沿輸送機伸手或爬入至 R1 輸送頭（貨叉在內 1.85 m）；操作員停止位之滾輪與直角移載捲入點 · 致命／手部夾壓</t>
        </is>
      </c>
      <c r="F10" s="6" t="inlineStr">
        <is>
          <t>Catastrophic 災難性</t>
        </is>
      </c>
      <c r="G10" s="6" t="inlineStr">
        <is>
          <t>Unlikely 不太可能</t>
        </is>
      </c>
      <c r="H10" s="4">
        <f>IFERROR(INDEX('Method 方法'!$B$6:$E$9,MATCH(F10,'Method 方法'!$A$6:$A$9,0),MATCH(G10,'Method 方法'!$B$5:$E$5,0)),"?")</f>
        <v/>
      </c>
      <c r="I10" s="5" t="inlineStr">
        <is>
          <t>1 Fixed hood over the tunnel (roof 1.12 m) with skirts to the floor; multi-beam curtain F3SG-PG at the tunnel mouth (SF6): S = 1730 mm required (ISO 13855, T = 0.55 s), 1850 mm available to the fork.
2 Muting only while a bin crosses the curtain (two bin sensors, ≤ 4 s, muting lamp); interruption without a bin → R1 cat. 1 stop + loop STO, reset outside.
3 Operator stop and RAT outside the fence with roller nip guards; the operator refills the bin in place (no lifting) and releases it with a push-button.</t>
        </is>
      </c>
      <c r="J10" s="5" t="inlineStr">
        <is>
          <t>1 隧道上方固定罩（頂 1.12 m）並設至地面之側裙；隧道口設多光束光幕 F3SG-PG（SF6）：所需 S = 1730 mm（ISO 13855，T = 0.55 s），至貨叉可用 1850 mm。
2 僅於料箱通過光幕時遮蔽（兩個料箱感測器、≤ 4 s、遮蔽指示燈）；無料箱時遮斷 → R1 cat. 1 停止＋迴路 STO，於外部復歸。
3 操作員停止位與直角移載位於圍籬外並設滾輪捲入防護；操作員於原位補貨（不需搬抬），以按鈕放行。</t>
        </is>
      </c>
      <c r="K10" s="5" t="inlineStr">
        <is>
          <t>SF6 restock curtain + muting 補貨光幕＋遮蔽</t>
        </is>
      </c>
      <c r="L10" s="4" t="inlineStr">
        <is>
          <t>d</t>
        </is>
      </c>
      <c r="M10" s="4" t="inlineStr">
        <is>
          <t>d</t>
        </is>
      </c>
      <c r="N10" s="6" t="inlineStr">
        <is>
          <t>Serious 嚴重</t>
        </is>
      </c>
      <c r="O10" s="6" t="inlineStr">
        <is>
          <t>Remote 極少</t>
        </is>
      </c>
      <c r="P10" s="4">
        <f>IFERROR(INDEX('Method 方法'!$B$6:$E$9,MATCH(N10,'Method 方法'!$A$6:$A$9,0),MATCH(O10,'Method 方法'!$B$5:$E$5,0)),"?")</f>
        <v/>
      </c>
      <c r="Q10" s="5" t="inlineStr">
        <is>
          <t>ISO 13855, IEC 61496-2, IEC 62046, ISO 13857</t>
        </is>
      </c>
    </row>
    <row r="11" ht="150" customHeight="1">
      <c r="A11" s="4" t="inlineStr">
        <is>
          <t>H7</t>
        </is>
      </c>
      <c r="B11" s="5" t="inlineStr">
        <is>
          <t>Put wall (north) · order cases in and out through 8 lane tunnels</t>
        </is>
      </c>
      <c r="C11" s="5" t="inlineStr">
        <is>
          <t>放置牆（北側）· 訂單箱經 8 條通道隧道進出</t>
        </is>
      </c>
      <c r="D11" s="5" t="inlineStr">
        <is>
          <t>A hand reaching through a lane mouth (0.37 × 0.30 m) to the case at the robot end while S1 / S2 puts a carton (cup 0.97 m inside the curtain); finger trapping in the powered roller lane · fractures, amputation</t>
        </is>
      </c>
      <c r="E11" s="5" t="inlineStr">
        <is>
          <t>手經通道口（0.37 × 0.30 m）伸至機器人端之訂單箱，同時 S1／S2 放入紙箱（吸盤距光幕 0.97 m）；動力滾輪通道夾手指 · 骨折、截斷</t>
        </is>
      </c>
      <c r="F11" s="6" t="inlineStr">
        <is>
          <t>Serious 嚴重</t>
        </is>
      </c>
      <c r="G11" s="6" t="inlineStr">
        <is>
          <t>Likely 可能</t>
        </is>
      </c>
      <c r="H11" s="4">
        <f>IFERROR(INDEX('Method 方法'!$B$6:$E$9,MATCH(F11,'Method 方法'!$A$6:$A$9,0),MATCH(G11,'Method 方法'!$B$5:$E$5,0)),"?")</f>
        <v/>
      </c>
      <c r="I11" s="5" t="inlineStr">
        <is>
          <t>1 Fixed hood over each block of 4 lanes (roof 0.92 m) with skirts; one 30 mm (hand-detection) curtain per block at the tunnel mouth (SF7): S = 528 mm required (ISO 13855, T = 0.25 s), 970 mm available — a multi-beam curtain (1250 mm) would not fit.
2 Muted only while a lane of that block moves a case; a lane moves only with the sorter tool out of the lane zone (verified 0 lane moves under a sorter).
3 Low-torque MDR rollers with nip guards; the operator takes / sets the case only at the outer stop.</t>
        </is>
      </c>
      <c r="J11" s="5" t="inlineStr">
        <is>
          <t>1 每 4 條通道設固定罩（頂 0.92 m）與側裙；每組於隧道口設 30 mm（手部檢知）光幕（SF7）：所需 S = 528 mm（ISO 13855，T = 0.25 s），可用 970 mm — 多光束光幕（1250 mm）無法容納。
2 僅於該組某通道移動訂單箱時遮蔽；通道僅於分揀工具離開通道區時移動（驗證分揀機器人下方通道移動 0 次）。
3 低扭力 MDR 滾輪並設捲入防護；操作員僅於外側停止位取放訂單箱。</t>
        </is>
      </c>
      <c r="K11" s="5" t="inlineStr">
        <is>
          <t>SF7 put-wall curtains + lane interlock 放置牆光幕＋通道互鎖</t>
        </is>
      </c>
      <c r="L11" s="4" t="inlineStr">
        <is>
          <t>d</t>
        </is>
      </c>
      <c r="M11" s="4" t="inlineStr">
        <is>
          <t>d</t>
        </is>
      </c>
      <c r="N11" s="6" t="inlineStr">
        <is>
          <t>Serious 嚴重</t>
        </is>
      </c>
      <c r="O11" s="6" t="inlineStr">
        <is>
          <t>Remote 極少</t>
        </is>
      </c>
      <c r="P11" s="4">
        <f>IFERROR(INDEX('Method 方法'!$B$6:$E$9,MATCH(N11,'Method 方法'!$A$6:$A$9,0),MATCH(O11,'Method 方法'!$B$5:$E$5,0)),"?")</f>
        <v/>
      </c>
      <c r="Q11" s="5" t="inlineStr">
        <is>
          <t>ISO 13855, IEC 61496-2, ISO 13857, ISO 14120</t>
        </is>
      </c>
    </row>
    <row r="12" ht="150" customHeight="1">
      <c r="A12" s="4" t="inlineStr">
        <is>
          <t>H8</t>
        </is>
      </c>
      <c r="B12" s="5" t="inlineStr">
        <is>
          <t>Picking loop · zone conveyors, bin stops, right-angle transfer</t>
        </is>
      </c>
      <c r="C12" s="5" t="inlineStr">
        <is>
          <t>揀貨迴路 · 區段輸送機、料箱停止器、直角移載</t>
        </is>
      </c>
      <c r="D12" s="5" t="inlineStr">
        <is>
          <t>Crushing of hands between a bin and a stopper / RAT, in-running nips at rollers and chains when a jam is cleared; a bin moving while a gripper is in it</t>
        </is>
      </c>
      <c r="E12" s="5" t="inlineStr">
        <is>
          <t>清除卡料時手於料箱與停止器／直角移載間夾壓、滾輪與鏈條捲入；夾爪在料箱內時料箱移動</t>
        </is>
      </c>
      <c r="F12" s="6" t="inlineStr">
        <is>
          <t>Serious 嚴重</t>
        </is>
      </c>
      <c r="G12" s="6" t="inlineStr">
        <is>
          <t>Unlikely 不太可能</t>
        </is>
      </c>
      <c r="H12" s="4">
        <f>IFERROR(INDEX('Method 方法'!$B$6:$E$9,MATCH(F12,'Method 方法'!$A$6:$A$9,0),MATCH(G12,'Method 方法'!$B$5:$E$5,0)),"?")</f>
        <v/>
      </c>
      <c r="I12" s="5" t="inlineStr">
        <is>
          <t>1 Inside the guarded zone: all conveyor drives STO with the guard stop (SF1); jams cleared only through the locked doors.
2 A bin leaves a stop only after the gripper has left it and a bin passes a stop only when it is free (verified 0 bin moves under a gripper).
3 MDR zone conveyors (24 V, low torque), chain heads and RAT with nip guards.</t>
        </is>
      </c>
      <c r="J12" s="5" t="inlineStr">
        <is>
          <t>1 位於防護區內：防護停止時所有輸送驅動 STO（SF1）；僅經鎖定之門清除卡料。
2 料箱僅於夾爪離開後離開停止位，且僅於停止位淨空時通過（驗證夾爪下方料箱移動 0 次）。
3 MDR 區段輸送（24 V、低扭力），鏈條輸送頭與直角移載設捲入防護。</t>
        </is>
      </c>
      <c r="K12" s="5" t="inlineStr">
        <is>
          <t>SF1 guard stop 防護停止</t>
        </is>
      </c>
      <c r="L12" s="4" t="inlineStr">
        <is>
          <t>d</t>
        </is>
      </c>
      <c r="M12" s="4" t="inlineStr">
        <is>
          <t>d</t>
        </is>
      </c>
      <c r="N12" s="6" t="inlineStr">
        <is>
          <t>Serious 嚴重</t>
        </is>
      </c>
      <c r="O12" s="6" t="inlineStr">
        <is>
          <t>Remote 極少</t>
        </is>
      </c>
      <c r="P12" s="4">
        <f>IFERROR(INDEX('Method 方法'!$B$6:$E$9,MATCH(N12,'Method 方法'!$A$6:$A$9,0),MATCH(O12,'Method 方法'!$B$5:$E$5,0)),"?")</f>
        <v/>
      </c>
      <c r="Q12" s="5" t="inlineStr">
        <is>
          <t>ISO 14120, ISO 13857, EN 619</t>
        </is>
      </c>
    </row>
    <row r="13" ht="150" customHeight="1">
      <c r="A13" s="4" t="inlineStr">
        <is>
          <t>H9</t>
        </is>
      </c>
      <c r="B13" s="5" t="inlineStr">
        <is>
          <t>Item belt, bar-code arch, 3D cameras</t>
        </is>
      </c>
      <c r="C13" s="5" t="inlineStr">
        <is>
          <t>物品輸送帶、條碼門架、3D 相機</t>
        </is>
      </c>
      <c r="D13" s="5" t="inlineStr">
        <is>
          <t>In-running nips at the belt drums; reaching for a stuck carton at the arch; laser class of the bar-code reader and the structured-light 3D projectors (eyes)</t>
        </is>
      </c>
      <c r="E13" s="5" t="inlineStr">
        <is>
          <t>輸送帶滾筒捲入點；於門架處伸手取卡住之紙箱；條碼讀取器雷射等級與結構光 3D 投影器（眼睛）</t>
        </is>
      </c>
      <c r="F13" s="6" t="inlineStr">
        <is>
          <t>Moderate 中度</t>
        </is>
      </c>
      <c r="G13" s="6" t="inlineStr">
        <is>
          <t>Likely 可能</t>
        </is>
      </c>
      <c r="H13" s="4">
        <f>IFERROR(INDEX('Method 方法'!$B$6:$E$9,MATCH(F13,'Method 方法'!$A$6:$A$9,0),MATCH(G13,'Method 方法'!$B$5:$E$5,0)),"?")</f>
        <v/>
      </c>
      <c r="I13" s="5" t="inlineStr">
        <is>
          <t>1 Inside the guarded zone, drum guards, belt STO with the guard stop; the belt holds while a gripper places or picks (verified 0 belt moves under a gripper).
2 Bar-code reader laser class 1 / 2, 3D projectors per IEC 62471 exempt / RG1, mounted above head height and facing down.</t>
        </is>
      </c>
      <c r="J13" s="5" t="inlineStr">
        <is>
          <t>1 位於防護區內、滾筒防護、防護停止時輸送帶 STO；夾爪放置或取件時輸送帶保持（驗證夾爪下方輸送帶移動 0 次）。
2 條碼讀取器雷射等級 1／2，3D 投影器依 IEC 62471 屬豁免／RG1，安裝於頭部高度以上並朝下。</t>
        </is>
      </c>
      <c r="K13" s="5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6" t="inlineStr">
        <is>
          <t>Moderate 中度</t>
        </is>
      </c>
      <c r="O13" s="6" t="inlineStr">
        <is>
          <t>Remote 極少</t>
        </is>
      </c>
      <c r="P13" s="4">
        <f>IFERROR(INDEX('Method 方法'!$B$6:$E$9,MATCH(N13,'Method 方法'!$A$6:$A$9,0),MATCH(O13,'Method 方法'!$B$5:$E$5,0)),"?")</f>
        <v/>
      </c>
      <c r="Q13" s="5" t="inlineStr">
        <is>
          <t>IEC 60825-1, IEC 62471, EN 619</t>
        </is>
      </c>
    </row>
    <row r="14" ht="150" customHeight="1">
      <c r="A14" s="4" t="inlineStr">
        <is>
          <t>H10</t>
        </is>
      </c>
      <c r="B14" s="5" t="inlineStr">
        <is>
          <t>Exception chute (east) · no-read cartons to the tote outside</t>
        </is>
      </c>
      <c r="C14" s="5" t="inlineStr">
        <is>
          <t>例外滑槽（東側）· 無法讀取之紙箱送至外部料盒</t>
        </is>
      </c>
      <c r="D14" s="5" t="inlineStr">
        <is>
          <t>Reaching through the chute mouth (0.34 × 0.30 m) to the belt end drum or S2; a full tote stopping the belt</t>
        </is>
      </c>
      <c r="E14" s="5" t="inlineStr">
        <is>
          <t>經滑槽口（0.34 × 0.30 m）伸手至輸送帶尾滾筒或 S2；料盒滿載使輸送帶停止</t>
        </is>
      </c>
      <c r="F14" s="6" t="inlineStr">
        <is>
          <t>Serious 嚴重</t>
        </is>
      </c>
      <c r="G14" s="6" t="inlineStr">
        <is>
          <t>Unlikely 不太可能</t>
        </is>
      </c>
      <c r="H14" s="4">
        <f>IFERROR(INDEX('Method 方法'!$B$6:$E$9,MATCH(F14,'Method 方法'!$A$6:$A$9,0),MATCH(G14,'Method 方法'!$B$5:$E$5,0)),"?")</f>
        <v/>
      </c>
      <c r="I14" s="5" t="inlineStr">
        <is>
          <t>1 Covered chute through a sealed panel in the east fence, mouth 0.9 m outside the fence: the belt-end drum ≥ 0.9 m and S2 ≥ 1.4 m from the mouth (ISO 13857 Table 4, ≥ 850 mm).
2 Tote-full sensor: the belt holds before the end (no carton left on the chute); the packing operator empties the tote (re-scan / restock), verified 26 exceptions per hour at 5 % no-read without a belt stop longer than 42 s.</t>
        </is>
      </c>
      <c r="J14" s="5" t="inlineStr">
        <is>
          <t>1 經東側圍籬密封板之有蓋滑槽，出口距圍籬外 0.9 m：輸送帶尾滾筒距出口 ≥ 0.9 m，S2 ≥ 1.4 m（ISO 13857 表 4，≥ 850 mm）。
2 料盒滿載感測器：輸送帶於尾端前保持（滑槽上不留紙箱）；包裝作業員清空料盒（重新掃描／歸位），驗證無法讀取率 5 % 時每小時 26 件例外，輸送帶停止不超過 42 s。</t>
        </is>
      </c>
      <c r="K14" s="5" t="inlineStr">
        <is>
          <t>—</t>
        </is>
      </c>
      <c r="L14" s="4" t="inlineStr">
        <is>
          <t>—</t>
        </is>
      </c>
      <c r="M14" s="4" t="inlineStr">
        <is>
          <t>—</t>
        </is>
      </c>
      <c r="N14" s="6" t="inlineStr">
        <is>
          <t>Moderate 中度</t>
        </is>
      </c>
      <c r="O14" s="6" t="inlineStr">
        <is>
          <t>Remote 極少</t>
        </is>
      </c>
      <c r="P14" s="4">
        <f>IFERROR(INDEX('Method 方法'!$B$6:$E$9,MATCH(N14,'Method 方法'!$A$6:$A$9,0),MATCH(O14,'Method 方法'!$B$5:$E$5,0)),"?")</f>
        <v/>
      </c>
      <c r="Q14" s="5" t="inlineStr">
        <is>
          <t>ISO 13857, ISO 14120</t>
        </is>
      </c>
    </row>
    <row r="15" ht="150" customHeight="1">
      <c r="A15" s="4" t="inlineStr">
        <is>
          <t>H11</t>
        </is>
      </c>
      <c r="B15" s="5" t="inlineStr">
        <is>
          <t>Manual handling · restock, case exchange, exception tote</t>
        </is>
      </c>
      <c r="C15" s="5" t="inlineStr">
        <is>
          <t>人工搬運 · 補貨、訂單箱更換、例外料盒</t>
        </is>
      </c>
      <c r="D15" s="5" t="inlineStr">
        <is>
          <t>Repetitive handling of cartons (≤ 1.6 kg) into bins, full order cases (≤ 8 kg) to the packing cart, empty cases from the supply cart; awkward reach into the bin at the restock stop</t>
        </is>
      </c>
      <c r="E15" s="5" t="inlineStr">
        <is>
          <t>重複將紙箱（≤ 1.6 kg）放入料箱、滿載訂單箱（≤ 8 kg）放上包裝推車、由供箱推車取空箱；於補貨停止位伸入料箱之不良姿勢</t>
        </is>
      </c>
      <c r="F15" s="6" t="inlineStr">
        <is>
          <t>Moderate 中度</t>
        </is>
      </c>
      <c r="G15" s="6" t="inlineStr">
        <is>
          <t>Likely 可能</t>
        </is>
      </c>
      <c r="H15" s="4">
        <f>IFERROR(INDEX('Method 方法'!$B$6:$E$9,MATCH(F15,'Method 方法'!$A$6:$A$9,0),MATCH(G15,'Method 方法'!$B$5:$E$5,0)),"?")</f>
        <v/>
      </c>
      <c r="I15" s="5" t="inlineStr">
        <is>
          <t>1 Bins are never lifted: refilled in place at 0.75 m (stop height), released by push-button; stock pallet beside the stop.
2 Cases taken at the outer lane stop at 0.58–0.80 m, carts beside the walkway; packing operator 77–93 % busy at 194–245 orders / h — a second operator or a take-away conveyor above 240 cases / h.
3 Masses per ISO 11228-1 (cartons ≤ 1.6 kg, cases ≤ 8 kg); job rotation between restock and packing.</t>
        </is>
      </c>
      <c r="J15" s="5" t="inlineStr">
        <is>
          <t>1 料箱不需搬抬：於停止位高度 0.75 m 原位補貨，以按鈕放行；庫存棧板置於停止位旁。
2 於通道外側停止位 0.58–0.80 m 取箱，推車位於走道旁；每小時 194–245 張訂單時包裝作業員稼動 77–93 % — 超過每小時 240 箱時增加一名作業員或出箱輸送機。
3 質量依 ISO 11228-1（紙箱 ≤ 1.6 kg、訂單箱 ≤ 8 kg）；補貨與包裝輪調。</t>
        </is>
      </c>
      <c r="K15" s="5" t="inlineStr">
        <is>
          <t>—</t>
        </is>
      </c>
      <c r="L15" s="4" t="inlineStr">
        <is>
          <t>—</t>
        </is>
      </c>
      <c r="M15" s="4" t="inlineStr">
        <is>
          <t>—</t>
        </is>
      </c>
      <c r="N15" s="6" t="inlineStr">
        <is>
          <t>Moderate 中度</t>
        </is>
      </c>
      <c r="O15" s="6" t="inlineStr">
        <is>
          <t>Unlikely 不太可能</t>
        </is>
      </c>
      <c r="P15" s="4">
        <f>IFERROR(INDEX('Method 方法'!$B$6:$E$9,MATCH(N15,'Method 方法'!$A$6:$A$9,0),MATCH(O15,'Method 方法'!$B$5:$E$5,0)),"?")</f>
        <v/>
      </c>
      <c r="Q15" s="5" t="inlineStr">
        <is>
          <t>ISO 11228-1, ISO 11228-3</t>
        </is>
      </c>
    </row>
    <row r="16" ht="150" customHeight="1">
      <c r="A16" s="4" t="inlineStr">
        <is>
          <t>H12</t>
        </is>
      </c>
      <c r="B16" s="5" t="inlineStr">
        <is>
          <t>Walkways outside the fence · operators, carts</t>
        </is>
      </c>
      <c r="C16" s="5" t="inlineStr">
        <is>
          <t>圍籬外走道 · 作業員、推車</t>
        </is>
      </c>
      <c r="D16" s="5" t="inlineStr">
        <is>
          <t>Slips / trips and collisions with carts on the walkways round the put wall, the restock station and the exception tote</t>
        </is>
      </c>
      <c r="E16" s="5" t="inlineStr">
        <is>
          <t>於放置牆、補貨站與例外料盒周圍走道滑倒／絆倒、與推車碰撞</t>
        </is>
      </c>
      <c r="F16" s="6" t="inlineStr">
        <is>
          <t>Moderate 中度</t>
        </is>
      </c>
      <c r="G16" s="6" t="inlineStr">
        <is>
          <t>Unlikely 不太可能</t>
        </is>
      </c>
      <c r="H16" s="4">
        <f>IFERROR(INDEX('Method 方法'!$B$6:$E$9,MATCH(F16,'Method 方法'!$A$6:$A$9,0),MATCH(G16,'Method 方法'!$B$5:$E$5,0)),"?")</f>
        <v/>
      </c>
      <c r="I16" s="5" t="inlineStr">
        <is>
          <t>1 Marked walkway 0.3–1.0 m outside the fence; carts and pallets in marked places beside it; operator body ≥ 0.22 m from every equipment footprint (verified 0 overlaps).
2 Housekeeping; no cables on the walkway floor (all floor bridges inside the fence).
1 Electrical installations in walkways and lanes: see H18.</t>
        </is>
      </c>
      <c r="J16" s="5" t="inlineStr">
        <is>
          <t>1 於圍籬外 0.3–1.0 m 標示走道；推車與棧板置於其旁之標示位置；作業員身體距所有設備投影 ≥ 0.22 m（驗證重疊 0 次）。
2 整理整頓；走道地面無電纜（所有地面線槽位於圍籬內）。
1 走道與車道中之電氣設施：見 H18。</t>
        </is>
      </c>
      <c r="K16" s="5" t="inlineStr">
        <is>
          <t>—</t>
        </is>
      </c>
      <c r="L16" s="4" t="inlineStr">
        <is>
          <t>—</t>
        </is>
      </c>
      <c r="M16" s="4" t="inlineStr">
        <is>
          <t>—</t>
        </is>
      </c>
      <c r="N16" s="6" t="inlineStr">
        <is>
          <t>Moderate 中度</t>
        </is>
      </c>
      <c r="O16" s="6" t="inlineStr">
        <is>
          <t>Remote 極少</t>
        </is>
      </c>
      <c r="P16" s="4">
        <f>IFERROR(INDEX('Method 方法'!$B$6:$E$9,MATCH(N16,'Method 方法'!$A$6:$A$9,0),MATCH(O16,'Method 方法'!$B$5:$E$5,0)),"?")</f>
        <v/>
      </c>
      <c r="Q16" s="5" t="inlineStr">
        <is>
          <t>ISO 14122, ISO 7010</t>
        </is>
      </c>
    </row>
    <row r="17" ht="150" customHeight="1">
      <c r="A17" s="4" t="inlineStr">
        <is>
          <t>H13</t>
        </is>
      </c>
      <c r="B17" s="5" t="inlineStr">
        <is>
          <t>Vacuum grippers · loss of grip</t>
        </is>
      </c>
      <c r="C17" s="5" t="inlineStr">
        <is>
          <t>真空夾爪 · 失去吸附</t>
        </is>
      </c>
      <c r="D17" s="5" t="inlineStr">
        <is>
          <t>A carton (≤ 1.6 kg) dropped from R2 / R3 / S1 / S2 on a power or air loss, over the belt, a bin or a case</t>
        </is>
      </c>
      <c r="E17" s="5" t="inlineStr">
        <is>
          <t>斷電或斷氣時紙箱（≤ 1.6 kg）由 R2／R3／S1／S2 掉落於輸送帶、料箱或訂單箱上</t>
        </is>
      </c>
      <c r="F17" s="6" t="inlineStr">
        <is>
          <t>Minor 輕微</t>
        </is>
      </c>
      <c r="G17" s="6" t="inlineStr">
        <is>
          <t>Unlikely 不太可能</t>
        </is>
      </c>
      <c r="H17" s="4">
        <f>IFERROR(INDEX('Method 方法'!$B$6:$E$9,MATCH(F17,'Method 方法'!$A$6:$A$9,0),MATCH(G17,'Method 方法'!$B$5:$E$5,0)),"?")</f>
        <v/>
      </c>
      <c r="I17" s="5" t="inlineStr">
        <is>
          <t>1 Vacuum generators with non-return valves and vacuum switches; cartons carried only inside the fence at ≤ 1.28 m.
2 A dropped carton is removed with the zone stopped (H8); no person under a carried carton.</t>
        </is>
      </c>
      <c r="J17" s="5" t="inlineStr">
        <is>
          <t>1 真空產生器具止回閥與真空開關；紙箱僅於圍籬內 ≤ 1.28 m 高度搬運。
2 掉落之紙箱於區域停止後移除（H8）；搬運中紙箱下方無人。</t>
        </is>
      </c>
      <c r="K17" s="5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6" t="inlineStr">
        <is>
          <t>Minor 輕微</t>
        </is>
      </c>
      <c r="O17" s="6" t="inlineStr">
        <is>
          <t>Remote 極少</t>
        </is>
      </c>
      <c r="P17" s="4">
        <f>IFERROR(INDEX('Method 方法'!$B$6:$E$9,MATCH(N17,'Method 方法'!$A$6:$A$9,0),MATCH(O17,'Method 方法'!$B$5:$E$5,0)),"?")</f>
        <v/>
      </c>
      <c r="Q17" s="5" t="inlineStr">
        <is>
          <t>ISO 4414</t>
        </is>
      </c>
    </row>
    <row r="18" ht="150" customHeight="1">
      <c r="A18" s="4" t="inlineStr">
        <is>
          <t>H14</t>
        </is>
      </c>
      <c r="B18" s="5" t="inlineStr">
        <is>
          <t>Maintenance, teaching (T1), shelf service at height</t>
        </is>
      </c>
      <c r="C18" s="5" t="inlineStr">
        <is>
          <t>維修、教導（T1）、高處料架作業</t>
        </is>
      </c>
      <c r="D18" s="5" t="inlineStr">
        <is>
          <t>Working at height in the ring (top level 2.9 m, frame 3.75 m) for shelf or bin service; robot motion in T1 while teaching slot positions; unexpected start-up</t>
        </is>
      </c>
      <c r="E18" s="5" t="inlineStr">
        <is>
          <t>於圓環內高處作業（最高層 2.9 m、框架 3.75 m）進行料架或料箱維修；教導料位時 T1 機器人動作；意外啟動</t>
        </is>
      </c>
      <c r="F18" s="6" t="inlineStr">
        <is>
          <t>Serious 嚴重</t>
        </is>
      </c>
      <c r="G18" s="6" t="inlineStr">
        <is>
          <t>Unlikely 不太可能</t>
        </is>
      </c>
      <c r="H18" s="4">
        <f>IFERROR(INDEX('Method 方法'!$B$6:$E$9,MATCH(F18,'Method 方法'!$A$6:$A$9,0),MATCH(G18,'Method 方法'!$B$5:$E$5,0)),"?")</f>
        <v/>
      </c>
      <c r="I18" s="5" t="inlineStr">
        <is>
          <t>1 Work at height from a mobile platform (EN 280) through the north passage or from outside with the cell under LOTO; R1 parked at its home pose, brakes applied.
2 Teaching in T1 ≤ 250 mm/s with a three-position enabling device, one person in the ring, SafeMove zones active.
3 LOTO at the main disconnect and the air supply (EN 1037 / ISO 14118).</t>
        </is>
      </c>
      <c r="J18" s="5" t="inlineStr">
        <is>
          <t>1 高處作業於工作站 LOTO 下經北側通道使用移動式升降平台（EN 280）或由外部進行；R1 停放於原點姿態並施加剎車。
2 以三段式致能裝置於 T1 ≤ 250 mm/s 教導，圓環內僅一人，SafeMove 區域啟用。
3 主開關與氣源 LOTO（EN 1037／ISO 14118）。</t>
        </is>
      </c>
      <c r="K18" s="5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6" t="inlineStr">
        <is>
          <t>Serious 嚴重</t>
        </is>
      </c>
      <c r="O18" s="6" t="inlineStr">
        <is>
          <t>Remote 極少</t>
        </is>
      </c>
      <c r="P18" s="4">
        <f>IFERROR(INDEX('Method 方法'!$B$6:$E$9,MATCH(N18,'Method 方法'!$A$6:$A$9,0),MATCH(O18,'Method 方法'!$B$5:$E$5,0)),"?")</f>
        <v/>
      </c>
      <c r="Q18" s="5" t="inlineStr">
        <is>
          <t>ISO 10218-2, ISO 14118, EN 280, ISO 14122</t>
        </is>
      </c>
    </row>
    <row r="19" ht="150" customHeight="1">
      <c r="A19" s="4" t="inlineStr">
        <is>
          <t>H15</t>
        </is>
      </c>
      <c r="B19" s="5" t="inlineStr">
        <is>
          <t>Fire load of the stored goods</t>
        </is>
      </c>
      <c r="C19" s="5" t="inlineStr">
        <is>
          <t>儲存貨物之火載量</t>
        </is>
      </c>
      <c r="D19" s="5" t="inlineStr">
        <is>
          <t>Plastic bins and cartons (≈ 120 bins + order cases, ≈ 1.5 t of PP and cardboard) in a 3.75 m ring inside a fenced cell; fire spread, smoke</t>
        </is>
      </c>
      <c r="E19" s="5" t="inlineStr">
        <is>
          <t>塑膠料箱與紙箱（約 120 個料箱＋訂單箱，約 1.5 t PP 與紙板）於圍籬內 3.75 m 圓環中；火勢蔓延、煙霧</t>
        </is>
      </c>
      <c r="F19" s="6" t="inlineStr">
        <is>
          <t>Catastrophic 災難性</t>
        </is>
      </c>
      <c r="G19" s="6" t="inlineStr">
        <is>
          <t>Remote 極少</t>
        </is>
      </c>
      <c r="H19" s="4">
        <f>IFERROR(INDEX('Method 方法'!$B$6:$E$9,MATCH(F19,'Method 方法'!$A$6:$A$9,0),MATCH(G19,'Method 方法'!$B$5:$E$5,0)),"?")</f>
        <v/>
      </c>
      <c r="I19" s="5" t="inlineStr">
        <is>
          <t>1 Fire protection per the site assessment (sprinklers over the ring, EN 12845 / NFPA 13), no ignition sources in the ring (cables in trays, drives outside), extinguishers at the doors.
2 Doors open from inside without a tool (escape release on the guard locks); E-stop at both doors.</t>
        </is>
      </c>
      <c r="J19" s="5" t="inlineStr">
        <is>
          <t>1 依現場評估之消防（圓環上方灑水，EN 12845／NFPA 13），圓環內無點火源（電纜於線槽內、驅動器位於外部），門旁設滅火器。
2 門可由內部免工具開啟（防護鎖之逃生解鎖）；兩扇門皆設緊急停止。</t>
        </is>
      </c>
      <c r="K19" s="5" t="inlineStr">
        <is>
          <t>—</t>
        </is>
      </c>
      <c r="L19" s="4" t="inlineStr">
        <is>
          <t>—</t>
        </is>
      </c>
      <c r="M19" s="4" t="inlineStr">
        <is>
          <t>—</t>
        </is>
      </c>
      <c r="N19" s="6" t="inlineStr">
        <is>
          <t>Catastrophic 災難性</t>
        </is>
      </c>
      <c r="O19" s="6" t="inlineStr">
        <is>
          <t>Remote 極少</t>
        </is>
      </c>
      <c r="P19" s="4">
        <f>IFERROR(INDEX('Method 方法'!$B$6:$E$9,MATCH(N19,'Method 方法'!$A$6:$A$9,0),MATCH(O19,'Method 方法'!$B$5:$E$5,0)),"?")</f>
        <v/>
      </c>
      <c r="Q19" s="5" t="inlineStr">
        <is>
          <t>EN 12845, ISO 14119</t>
        </is>
      </c>
    </row>
    <row r="20" ht="150" customHeight="1">
      <c r="A20" s="4" t="inlineStr">
        <is>
          <t>H16</t>
        </is>
      </c>
      <c r="B20" s="5" t="inlineStr">
        <is>
          <t>Order integrity (quality, not safety)</t>
        </is>
      </c>
      <c r="C20" s="5" t="inlineStr">
        <is>
          <t>訂單正確性（品質，非安全）</t>
        </is>
      </c>
      <c r="D20" s="5" t="inlineStr">
        <is>
          <t>A wrong or missing carton in a case: unreadable bar code, a bin stored in the wrong slot, two cartons picked together</t>
        </is>
      </c>
      <c r="E20" s="5" t="inlineStr">
        <is>
          <t>訂單箱內紙箱錯誤或缺少：條碼無法讀取、料箱存入錯誤料位、一次吸取兩個紙箱</t>
        </is>
      </c>
      <c r="F20" s="6" t="inlineStr">
        <is>
          <t>Minor 輕微</t>
        </is>
      </c>
      <c r="G20" s="6" t="inlineStr">
        <is>
          <t>Likely 可能</t>
        </is>
      </c>
      <c r="H20" s="4">
        <f>IFERROR(INDEX('Method 方法'!$B$6:$E$9,MATCH(F20,'Method 方法'!$A$6:$A$9,0),MATCH(G20,'Method 方法'!$B$5:$E$5,0)),"?")</f>
        <v/>
      </c>
      <c r="I20" s="5" t="inlineStr">
        <is>
          <t>1 Every carton read at the arch; no-read → exception tote (never put into a case), the open quantity is picked again; bin bar code read at the fork (slot inventory per move).
2 Vacuum switch per cup row; case lane releases only with the order complete.</t>
        </is>
      </c>
      <c r="J20" s="5" t="inlineStr">
        <is>
          <t>1 每一紙箱於門架讀取；無法讀取 → 例外料盒（絕不放入訂單箱），未完成數量重新揀取；貨叉讀取料箱條碼（每次搬移更新料位庫存）。
2 每列吸盤設真空開關；訂單完成後通道方放行。</t>
        </is>
      </c>
      <c r="K20" s="5" t="inlineStr">
        <is>
          <t>—</t>
        </is>
      </c>
      <c r="L20" s="4" t="inlineStr">
        <is>
          <t>—</t>
        </is>
      </c>
      <c r="M20" s="4" t="inlineStr">
        <is>
          <t>—</t>
        </is>
      </c>
      <c r="N20" s="6" t="inlineStr">
        <is>
          <t>Minor 輕微</t>
        </is>
      </c>
      <c r="O20" s="6" t="inlineStr">
        <is>
          <t>Remote 極少</t>
        </is>
      </c>
      <c r="P20" s="4">
        <f>IFERROR(INDEX('Method 方法'!$B$6:$E$9,MATCH(N20,'Method 方法'!$A$6:$A$9,0),MATCH(O20,'Method 方法'!$B$5:$E$5,0)),"?")</f>
        <v/>
      </c>
      <c r="Q20" s="5" t="inlineStr">
        <is>
          <t>—</t>
        </is>
      </c>
    </row>
    <row r="21" ht="150" customHeight="1">
      <c r="A21" s="4" t="inlineStr">
        <is>
          <t>H17</t>
        </is>
      </c>
      <c r="B21" s="5" t="inlineStr">
        <is>
          <t>Cable routes · trays, ducts, floor bridges</t>
        </is>
      </c>
      <c r="C21" s="5" t="inlineStr">
        <is>
          <t>電纜路徑 · 線槽、線管、地面線槽</t>
        </is>
      </c>
      <c r="D21" s="5" t="inlineStr">
        <is>
          <t>Electrical / fire · cable insulation damaged — crushed by a vehicle or pallet, cut by moving equipment, hit by the robot, overheated in an overfilled tray → electric shock at exposed conductors, loss of a safety signal, fire</t>
        </is>
      </c>
      <c r="E21" s="5" t="inlineStr">
        <is>
          <t>電氣／火災 · 電纜絕緣受損 — 遭車輛或棧板壓損、被運動設備割傷、遭機器人撞擊、於過滿線槽內過熱 → 裸露導體觸電、安全訊號喪失、火災</t>
        </is>
      </c>
      <c r="F21" s="6" t="inlineStr">
        <is>
          <t>Serious 嚴重</t>
        </is>
      </c>
      <c r="G21" s="6" t="inlineStr">
        <is>
          <t>Likely 可能</t>
        </is>
      </c>
      <c r="H21" s="4">
        <f>IFERROR(INDEX('Method 方法'!$B$6:$E$9,MATCH(F21,'Method 方法'!$A$6:$A$9,0),MATCH(G21,'Method 方法'!$B$5:$E$5,0)),"?")</f>
        <v/>
      </c>
      <c r="I21" s="5" t="inlineStr">
        <is>
          <t>1 Every cable between cabinets, junction boxes and robots runs on a perforated or ladder cable tray (IEC 61537) at ≥ 2.2 m, over traffic at the vehicle / load height + 0.2 m (no vehicle lanes; walkways outside the fence under trays at 2.4 m; ladder trays over the restock tunnel and over the put-wall tunnels (no upright in a tunnel or a lane); R1 cable on a floor bridge through the north passage of the cylinder and round the pedestal (the two ring scanners), R2 / R3 / S1 / S2 on short floor bridges from the north trunk, the camera posts from the south trunk); robot cables on floor cable bridges only inside the guarded zone and never across a flow path or lane; sensor cordsets (≤ 10 m) in wiring ducts on the fence rail and inside the equipment frames — no cable through the air or across a conveyor, lane or doorway; tray fill ≤ 40 % (max 24 %).
2 Robot arms, tools and carried parts keep ≥ 0.37 m from every tray, support, vertical tray and cabinet over the full cycle (verified in the digital layout); safety signals with cross-fault detection (ISO 13849-2); PE continuity and insulation test (IEC 60204-1 §18).
3 Trays, bridges and cordsets in the inspection plan; damaged cables replaced, not repaired.</t>
        </is>
      </c>
      <c r="J21" s="5" t="inlineStr">
        <is>
          <t>1 電櫃、接線盒與機器人間所有電纜敷設於穿孔或梯式線槽（IEC 61537），高度 ≥ 2.2 m，跨越交通處為車輛／貨物高度＋0.2 m（無車道；圍籬外走道上方線槽高 2.4 m；補貨隧道與放置牆隧道上方為梯式線槽（隧道或通道內無立柱）；R1 電纜經圓筒北側通道並繞基座（兩台圓環掃描器）之地面線槽，R2／R3／S1／S2 由北側主線槽經短地面線槽，相機柱由南側主線槽）；機器人電纜之地面線槽僅限防護區內，且不得橫越物流路徑或車道；感測器電纜（≤ 10 m）敷設於圍籬橫桿線槽及設備框架內 — 無懸空電纜，亦不橫越輸送帶、車道或門道；線槽填充率 ≤ 40 %（最大 24 %）。
2 機器人手臂、工具與搬運物於整個週期內與所有線槽、支架、垂直線槽及電櫃保持 ≥ 0.37 m（已於數位佈局驗證）；安全訊號具交叉故障偵測（ISO 13849-2）；保護接地連續性與絕緣測試（IEC 60204-1 §18）。
3 線槽、地面線槽與感測器電纜納入檢查計畫；損壞電纜更換而非修補。</t>
        </is>
      </c>
      <c r="K21" s="5" t="inlineStr">
        <is>
          <t>—</t>
        </is>
      </c>
      <c r="L21" s="4" t="inlineStr">
        <is>
          <t>—</t>
        </is>
      </c>
      <c r="M21" s="4" t="inlineStr">
        <is>
          <t>—</t>
        </is>
      </c>
      <c r="N21" s="6" t="inlineStr">
        <is>
          <t>Serious 嚴重</t>
        </is>
      </c>
      <c r="O21" s="6" t="inlineStr">
        <is>
          <t>Remote 極少</t>
        </is>
      </c>
      <c r="P21" s="4">
        <f>IFERROR(INDEX('Method 方法'!$B$6:$E$9,MATCH(N21,'Method 方法'!$A$6:$A$9,0),MATCH(O21,'Method 方法'!$B$5:$E$5,0)),"?")</f>
        <v/>
      </c>
      <c r="Q21" s="5" t="inlineStr">
        <is>
          <t>IEC 60204-1 §13, IEC 61537, IEC 60364-5-52, ISO 13849-2</t>
        </is>
      </c>
    </row>
    <row r="22" ht="150" customHeight="1">
      <c r="A22" s="4" t="inlineStr">
        <is>
          <t>H18</t>
        </is>
      </c>
      <c r="B22" s="5" t="inlineStr">
        <is>
          <t>Electrical installations in walkways and lanes</t>
        </is>
      </c>
      <c r="C22" s="5" t="inlineStr">
        <is>
          <t>走道與車道中之電氣設施</t>
        </is>
      </c>
      <c r="D22" s="5" t="inlineStr">
        <is>
          <t>Mechanical · tripping over a floor cable bridge; a person or vehicle striking a tray upright or junction-box post; a tray section falling after a vehicle strike or overload; a cabinet door that cannot open fully (blocked escape)</t>
        </is>
      </c>
      <c r="E22" s="5" t="inlineStr">
        <is>
          <t>機械性 · 絆倒於地面線槽；人員或車輛撞擊線槽立柱或接線盒立柱；線槽段遭車輛撞擊或過載後掉落；櫃門無法完全開啟（逃生受阻）</t>
        </is>
      </c>
      <c r="F22" s="6" t="inlineStr">
        <is>
          <t>Serious 嚴重</t>
        </is>
      </c>
      <c r="G22" s="6" t="inlineStr">
        <is>
          <t>Unlikely 不太可能</t>
        </is>
      </c>
      <c r="H22" s="4">
        <f>IFERROR(INDEX('Method 方法'!$B$6:$E$9,MATCH(F22,'Method 方法'!$A$6:$A$9,0),MATCH(G22,'Method 方法'!$B$5:$E$5,0)),"?")</f>
        <v/>
      </c>
      <c r="I22" s="5" t="inlineStr">
        <is>
          <t>1 Tray supports: floor-standing strut uprights with anchored base plates, cross-arms and knee braces every ≤ 2.0 m, spans ≤ 2.5 m (perforated tray) / ≤ 6 m (ladder-tray bridges over lanes, doors and machines); no upright, post or junction box inside a vehicle lane (lane = vehicle + load), door swing, cabinet service area or flow path, on a fence line or within 0.9 m of a robot base (31 supports placed and checked in the layout); floor cable bridges with chamfered yellow ramps, only inside the cells, never in a doorway or walkway.
2 Service areas kept clear and marked on the floor.
3 Uprights next to traffic marked yellow / black; tray load and anchoring checked at installation and in the inspection plan.</t>
        </is>
      </c>
      <c r="J22" s="5" t="inlineStr">
        <is>
          <t>1 線槽支撐：落地支架立柱具錨定底板、橫臂與斜撐，間距 ≤ 2.0 m，跨距 ≤ 2.5 m（穿孔線槽）／≤ 6 m（跨越車道、門及機器之梯式線槽）；立柱、接線盒立柱不得位於車道（車道 = 車輛＋貨物）、門扇迴轉範圍、電櫃維修區或物流路徑內，不得位於圍籬線上或距機器人基座 0.9 m 內（佈局中已配置並檢查 31 支立柱）；地面線槽具黃色斜坡，僅設於工作站內，不得位於門道或走道。
2 維修區保持淨空並於地面標示。
3 鄰近交通之立柱以黃黑標示；安裝時及檢查計畫中確認線槽荷重與錨定。</t>
        </is>
      </c>
      <c r="K22" s="5" t="inlineStr">
        <is>
          <t>—</t>
        </is>
      </c>
      <c r="L22" s="4" t="inlineStr">
        <is>
          <t>—</t>
        </is>
      </c>
      <c r="M22" s="4" t="inlineStr">
        <is>
          <t>—</t>
        </is>
      </c>
      <c r="N22" s="6" t="inlineStr">
        <is>
          <t>Serious 嚴重</t>
        </is>
      </c>
      <c r="O22" s="6" t="inlineStr">
        <is>
          <t>Remote 極少</t>
        </is>
      </c>
      <c r="P22" s="4">
        <f>IFERROR(INDEX('Method 方法'!$B$6:$E$9,MATCH(N22,'Method 方法'!$A$6:$A$9,0),MATCH(O22,'Method 方法'!$B$5:$E$5,0)),"?")</f>
        <v/>
      </c>
      <c r="Q22" s="5" t="inlineStr">
        <is>
          <t>IEC 61537, IEC 60364-7-729, ISO 3691-1 / ISO 3691-4, ISO 14122</t>
        </is>
      </c>
    </row>
    <row r="23" ht="150" customHeight="1">
      <c r="A23" s="4" t="inlineStr">
        <is>
          <t>H19</t>
        </is>
      </c>
      <c r="B23" s="5" t="inlineStr">
        <is>
          <t>Electrical cabinets · MCP, sub-cabinets, robot controllers (outside the fence)</t>
        </is>
      </c>
      <c r="C23" s="5" t="inlineStr">
        <is>
          <t>電櫃 · MCP、子盤、機器人控制櫃（圍籬外）</t>
        </is>
      </c>
      <c r="D23" s="5" t="inlineStr">
        <is>
          <t>Electrical · shock, arc flash at the cabinets (400 V)</t>
        </is>
      </c>
      <c r="E23" s="5" t="inlineStr">
        <is>
          <t>電氣 · 電櫃觸電、電弧（400 V）</t>
        </is>
      </c>
      <c r="F23" s="6" t="inlineStr">
        <is>
          <t>Serious 嚴重</t>
        </is>
      </c>
      <c r="G23" s="6" t="inlineStr">
        <is>
          <t>Unlikely 不太可能</t>
        </is>
      </c>
      <c r="H23" s="4">
        <f>IFERROR(INDEX('Method 方法'!$B$6:$E$9,MATCH(F23,'Method 方法'!$A$6:$A$9,0),MATCH(G23,'Method 方法'!$B$5:$E$5,0)),"?")</f>
        <v/>
      </c>
      <c r="I23" s="5" t="inlineStr">
        <is>
          <t>1 One main control panel (MCP: incoming supply, lockable main disconnect, line PLC + safety PLC, power distribution); every cabinet stands outside the guarded area (MCP, RC1 (OmniCore V250XT, R1) and SC1 (conveyor control) south of the cell, doors facing south; RC2 (4 × OmniCore C30, R2 / R3 / S1 / S2) north beside the cylinder passage, door facing north); IEC 60204-1 / IEC 61439 enclosures IP54 with door-interlocked main switches; field devices on 24 V via 9 junction boxes, set outside the fence wherever the cordsets reach (serviceable without entering a zone).
2 A clear service area in front of every cabinet door — depth ≥ max(1.0 m, door leaf + 0.5 m escape width), no fence, equipment, vehicle lane, door swing or other cabinet in it (IEC 60364-7-729; 4 / 4 clear in the layout); every cable between cabinets, junction boxes and robots on a supported tray (H17).
3 Qualified personnel only (EN 50110-1); LOTO at the main disconnect; warning labels; arc-flash PPE per the site assessment.</t>
        </is>
      </c>
      <c r="J23" s="5" t="inlineStr">
        <is>
          <t>1 單一主控制盤（MCP：電源進線、可上鎖主開關、產線 PLC＋安全 PLC、配電）；所有電櫃皆位於防護區外（MCP、RC1（OmniCore V250XT，R1）與 SC1（輸送控制）位於工作站南側，櫃門朝南；RC2（4 × OmniCore C30，R2／R3／S1／S2）位於北側圓筒通道旁，櫃門朝北）；符合 IEC 60204-1／IEC 61439 之 IP54 櫃體，門連鎖主開關；現場元件經 9 個接線盒以 24 V 供電，接線盒於電纜可及處一律設於圍籬外（維修無需進入區域）。
2 每一櫃門前保留淨空維修區 — 深度 ≥ max(1.0 m, 門扇寬＋0.5 m 逃生寬度)，區內不得有圍籬、設備、車道、門扇迴轉範圍或其他電櫃（IEC 60364-7-729；佈局中 4 / 4 淨空）；電櫃、接線盒與機器人間所有電纜皆敷設於有支撐之線槽（H17）。
3 僅限合格人員（EN 50110-1）；主開關 LOTO；警示標籤；依現場評估穿戴電弧防護具。</t>
        </is>
      </c>
      <c r="K23" s="5" t="inlineStr">
        <is>
          <t>—</t>
        </is>
      </c>
      <c r="L23" s="4" t="inlineStr">
        <is>
          <t>—</t>
        </is>
      </c>
      <c r="M23" s="4" t="inlineStr">
        <is>
          <t>—</t>
        </is>
      </c>
      <c r="N23" s="6" t="inlineStr">
        <is>
          <t>Serious 嚴重</t>
        </is>
      </c>
      <c r="O23" s="6" t="inlineStr">
        <is>
          <t>Remote 極少</t>
        </is>
      </c>
      <c r="P23" s="4">
        <f>IFERROR(INDEX('Method 方法'!$B$6:$E$9,MATCH(N23,'Method 方法'!$A$6:$A$9,0),MATCH(O23,'Method 方法'!$B$5:$E$5,0)),"?")</f>
        <v/>
      </c>
      <c r="Q23" s="5" t="inlineStr">
        <is>
          <t>IEC 60204-1, IEC 61439-1 / -2, IEC 60364-7-729, EN 50110-1</t>
        </is>
      </c>
    </row>
    <row r="25">
      <c r="A25" s="7" t="inlineStr">
        <is>
          <t>Summary · 總結</t>
        </is>
      </c>
    </row>
    <row r="26">
      <c r="A26" s="8" t="inlineStr">
        <is>
          <t>Residual High 殘餘高風險</t>
        </is>
      </c>
      <c r="D26" s="7">
        <f>COUNTIF($P$5:$P$23,"High*")</f>
        <v/>
      </c>
    </row>
    <row r="27">
      <c r="A27" s="8" t="inlineStr">
        <is>
          <t>Residual Medium 殘餘中風險</t>
        </is>
      </c>
      <c r="D27" s="7">
        <f>COUNTIF($P$5:$P$23,"Medium*")</f>
        <v/>
      </c>
    </row>
    <row r="28">
      <c r="A28" s="8" t="inlineStr">
        <is>
          <t>Residual Low 殘餘低風險</t>
        </is>
      </c>
      <c r="D28" s="7">
        <f>COUNTIF($P$5:$P$23,"Low*")</f>
        <v/>
      </c>
    </row>
    <row r="29">
      <c r="A29" s="8" t="inlineStr">
        <is>
          <t>Residual Negligible 殘餘可忽略</t>
        </is>
      </c>
      <c r="D29" s="7">
        <f>COUNTIF($P$5:$P$23,"Negligible*")</f>
        <v/>
      </c>
    </row>
    <row r="30">
      <c r="A30" s="8" t="inlineStr">
        <is>
          <t>Release check 放行檢查</t>
        </is>
      </c>
      <c r="D30" s="7">
        <f>IF(D26=0,"OK — no residual High · 無殘餘高風險","NOT OK — High risk remains · 仍有高風險")</f>
        <v/>
      </c>
    </row>
    <row r="32" ht="30" customHeight="1">
      <c r="A32" s="9" t="inlineStr">
        <is>
          <t>Assumptions to verify · 待驗證假設: Product, order profile and masses are assumptions (the video shows no data); robot speeds are programmed values (R1 2.5 m/s, R2 / R3 2.2 m/s, S1 / S2 2.5 m/s), not datasheet values; stopping times for ISO 13855 assumed (R1 0.5 s, IRB 930 0.2 s, curtain + logic 0.05 s) — to be replaced by ABB stopping-distance data; 3D image 0.45 s per pick, bar-code no-read 0.5 %, restock 35 s per bin, case exchange 14 s, conveyor 0.45 m/s, RAT 0.35 m/s, put-wall lanes 0.4 m/s. Electrical plan: 400 V 3-phase TN-S supply to the MCP; typical cabinet sizes (MCP 1200 × 600 × 2000, sub-cabinets 800 × 400 × 1200, IRC5 730 × 720 × 970 mm); typical cable diameters for the tray fill; no building steel assumed — every tray is floor-supported; M12 cordsets ≤ 10 m. · 產品、訂單結構與質量為假設（影片無資料）；機器人速度為程式設定值（R1 2.5 m/s、R2／R3 2.2 m/s、S1／S2 2.5 m/s），非型錄值；ISO 13855 停止時間為假設（R1 0.5 s、IRB 930 0.2 s、光幕＋邏輯 0.05 s）— 應以 ABB 停止距離資料取代；每次揀取 3D 拍攝 0.45 s、條碼無法讀取 0.5 %、每箱補貨 35 s、訂單箱更換 14 s、輸送 0.45 m/s、直角移載 0.35 m/s、放置牆通道 0.4 m/s。 電氣規劃：MCP 供電 400 V 三相 TN-S；電櫃尺寸取典型值（MCP 1200 × 600 × 2000、子盤 800 × 400 × 1200、IRC5 730 × 720 × 970 mm）；線槽填充以典型電纜外徑計；不假設建築鋼構 — 所有線槽皆落地支撐；M12 感測器電纜 ≤ 10 m。</t>
        </is>
      </c>
    </row>
  </sheetData>
  <autoFilter ref="A4:Q23"/>
  <mergeCells count="6">
    <mergeCell ref="A28:C28"/>
    <mergeCell ref="A32:J32"/>
    <mergeCell ref="A27:C27"/>
    <mergeCell ref="A30:C30"/>
    <mergeCell ref="A29:C29"/>
    <mergeCell ref="A26:C26"/>
  </mergeCells>
  <conditionalFormatting sqref="H5:H23">
    <cfRule type="expression" priority="1" dxfId="0">
      <formula>LEFT(H5,4)="High"</formula>
    </cfRule>
    <cfRule type="expression" priority="2" dxfId="1">
      <formula>LEFT(H5,6)="Medium"</formula>
    </cfRule>
    <cfRule type="expression" priority="3" dxfId="2">
      <formula>LEFT(H5,3)="Low"</formula>
    </cfRule>
    <cfRule type="expression" priority="4" dxfId="3">
      <formula>LEFT(H5,10)="Negligible"</formula>
    </cfRule>
  </conditionalFormatting>
  <conditionalFormatting sqref="P5:P23">
    <cfRule type="expression" priority="5" dxfId="0">
      <formula>LEFT(P5,4)="High"</formula>
    </cfRule>
    <cfRule type="expression" priority="6" dxfId="1">
      <formula>LEFT(P5,6)="Medium"</formula>
    </cfRule>
    <cfRule type="expression" priority="7" dxfId="2">
      <formula>LEFT(P5,3)="Low"</formula>
    </cfRule>
    <cfRule type="expression" priority="8" dxfId="3">
      <formula>LEFT(P5,10)="Negligible"</formula>
    </cfRule>
  </conditionalFormatting>
  <dataValidations count="2">
    <dataValidation sqref="F5:F23 N5:N23" showDropDown="0" showInputMessage="0" showErrorMessage="0" allowBlank="0" type="list">
      <formula1>='Method 方法'!$A$6:$A$9</formula1>
    </dataValidation>
    <dataValidation sqref="G5:G23 O5:O23" showDropDown="0" showInputMessage="0" showErrorMessage="0" allowBlank="0" type="list">
      <formula1>='Method 方法'!$B$5:$E$5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48" customWidth="1" min="3" max="3"/>
    <col width="20" customWidth="1" min="4" max="4"/>
    <col width="20" customWidth="1" min="5" max="5"/>
  </cols>
  <sheetData>
    <row r="1">
      <c r="A1" s="1" t="inlineStr">
        <is>
          <t>Risk estimation method · 風險評估方法 (ISO 12100:2010 §5.5, ISO/TR 14121-2 risk matrix)</t>
        </is>
      </c>
    </row>
    <row r="2">
      <c r="A2" s="2" t="inlineStr">
        <is>
          <t>Edit the yellow cells only if your company matrix differs. The Risk Assessment sheet looks these up by formula. · 僅在貴公司矩陣不同時修改黃色儲存格；風險評估表以公式查表。</t>
        </is>
      </c>
    </row>
    <row r="4">
      <c r="A4" s="7" t="inlineStr">
        <is>
          <t>Risk matrix · 風險矩陣</t>
        </is>
      </c>
    </row>
    <row r="5" ht="32" customHeight="1">
      <c r="A5" s="3" t="inlineStr">
        <is>
          <t>Severity ↓ / Probability → · 嚴重度 ↓ / 發生可能性 →</t>
        </is>
      </c>
      <c r="B5" s="3" t="inlineStr">
        <is>
          <t>Very likely 非常可能</t>
        </is>
      </c>
      <c r="C5" s="3" t="inlineStr">
        <is>
          <t>Likely 可能</t>
        </is>
      </c>
      <c r="D5" s="3" t="inlineStr">
        <is>
          <t>Unlikely 不太可能</t>
        </is>
      </c>
      <c r="E5" s="3" t="inlineStr">
        <is>
          <t>Remote 極少</t>
        </is>
      </c>
    </row>
    <row r="6">
      <c r="A6" s="10" t="inlineStr">
        <is>
          <t>Catastrophic 災難性</t>
        </is>
      </c>
      <c r="B6" s="6" t="inlineStr">
        <is>
          <t>High 高</t>
        </is>
      </c>
      <c r="C6" s="6" t="inlineStr">
        <is>
          <t>High 高</t>
        </is>
      </c>
      <c r="D6" s="6" t="inlineStr">
        <is>
          <t>High 高</t>
        </is>
      </c>
      <c r="E6" s="6" t="inlineStr">
        <is>
          <t>Medium 中</t>
        </is>
      </c>
    </row>
    <row r="7">
      <c r="A7" s="10" t="inlineStr">
        <is>
          <t>Serious 嚴重</t>
        </is>
      </c>
      <c r="B7" s="6" t="inlineStr">
        <is>
          <t>High 高</t>
        </is>
      </c>
      <c r="C7" s="6" t="inlineStr">
        <is>
          <t>High 高</t>
        </is>
      </c>
      <c r="D7" s="6" t="inlineStr">
        <is>
          <t>Medium 中</t>
        </is>
      </c>
      <c r="E7" s="6" t="inlineStr">
        <is>
          <t>Low 低</t>
        </is>
      </c>
    </row>
    <row r="8">
      <c r="A8" s="10" t="inlineStr">
        <is>
          <t>Moderate 中度</t>
        </is>
      </c>
      <c r="B8" s="6" t="inlineStr">
        <is>
          <t>High 高</t>
        </is>
      </c>
      <c r="C8" s="6" t="inlineStr">
        <is>
          <t>Medium 中</t>
        </is>
      </c>
      <c r="D8" s="6" t="inlineStr">
        <is>
          <t>Low 低</t>
        </is>
      </c>
      <c r="E8" s="6" t="inlineStr">
        <is>
          <t>Negligible 可忽略</t>
        </is>
      </c>
    </row>
    <row r="9">
      <c r="A9" s="10" t="inlineStr">
        <is>
          <t>Minor 輕微</t>
        </is>
      </c>
      <c r="B9" s="6" t="inlineStr">
        <is>
          <t>Medium 中</t>
        </is>
      </c>
      <c r="C9" s="6" t="inlineStr">
        <is>
          <t>Low 低</t>
        </is>
      </c>
      <c r="D9" s="6" t="inlineStr">
        <is>
          <t>Negligible 可忽略</t>
        </is>
      </c>
      <c r="E9" s="6" t="inlineStr">
        <is>
          <t>Negligible 可忽略</t>
        </is>
      </c>
    </row>
    <row r="11">
      <c r="A11" s="7" t="inlineStr">
        <is>
          <t>Severity · 嚴重度</t>
        </is>
      </c>
    </row>
    <row r="12" ht="32" customHeight="1">
      <c r="A12" s="3" t="inlineStr">
        <is>
          <t>Level 等級</t>
        </is>
      </c>
      <c r="B12" s="3" t="inlineStr">
        <is>
          <t>Definition (EN)</t>
        </is>
      </c>
      <c r="C12" s="3" t="inlineStr">
        <is>
          <t>定義（繁中）</t>
        </is>
      </c>
    </row>
    <row r="13">
      <c r="A13" s="5" t="inlineStr">
        <is>
          <t>Catastrophic 災難性</t>
        </is>
      </c>
      <c r="B13" s="5" t="inlineStr">
        <is>
          <t>Death or permanent disability</t>
        </is>
      </c>
      <c r="C13" s="5" t="inlineStr">
        <is>
          <t>死亡或永久失能</t>
        </is>
      </c>
    </row>
    <row r="14">
      <c r="A14" s="5" t="inlineStr">
        <is>
          <t>Serious 嚴重</t>
        </is>
      </c>
      <c r="B14" s="5" t="inlineStr">
        <is>
          <t>Irreversible injury (amputation, fracture with lasting damage)</t>
        </is>
      </c>
      <c r="C14" s="5" t="inlineStr">
        <is>
          <t>不可逆傷害（截肢、造成永久損傷之骨折）</t>
        </is>
      </c>
    </row>
    <row r="15">
      <c r="A15" s="5" t="inlineStr">
        <is>
          <t>Moderate 中度</t>
        </is>
      </c>
      <c r="B15" s="5" t="inlineStr">
        <is>
          <t>Reversible injury requiring medical treatment</t>
        </is>
      </c>
      <c r="C15" s="5" t="inlineStr">
        <is>
          <t>可復原、需醫療處置之傷害</t>
        </is>
      </c>
    </row>
    <row r="16">
      <c r="A16" s="5" t="inlineStr">
        <is>
          <t>Minor 輕微</t>
        </is>
      </c>
      <c r="B16" s="5" t="inlineStr">
        <is>
          <t>First-aid injury</t>
        </is>
      </c>
      <c r="C16" s="5" t="inlineStr">
        <is>
          <t>急救即可處理之輕傷</t>
        </is>
      </c>
    </row>
    <row r="18">
      <c r="A18" s="7" t="inlineStr">
        <is>
          <t>Probability (exposure × hazardous-event probability × possibility of avoidance) · 發生可能性</t>
        </is>
      </c>
    </row>
    <row r="19" ht="32" customHeight="1">
      <c r="A19" s="3" t="inlineStr">
        <is>
          <t>Level 等級</t>
        </is>
      </c>
      <c r="B19" s="3" t="inlineStr">
        <is>
          <t>Definition (EN)</t>
        </is>
      </c>
      <c r="C19" s="3" t="inlineStr">
        <is>
          <t>定義（繁中）</t>
        </is>
      </c>
    </row>
    <row r="20">
      <c r="A20" s="5" t="inlineStr">
        <is>
          <t>Very likely 非常可能</t>
        </is>
      </c>
      <c r="B20" s="5" t="inlineStr">
        <is>
          <t>Frequent exposure, event expected, avoidance scarcely possible</t>
        </is>
      </c>
      <c r="C20" s="5" t="inlineStr">
        <is>
          <t>頻繁暴露、事件預期會發生、幾乎無法迴避</t>
        </is>
      </c>
    </row>
    <row r="21">
      <c r="A21" s="5" t="inlineStr">
        <is>
          <t>Likely 可能</t>
        </is>
      </c>
      <c r="B21" s="5" t="inlineStr">
        <is>
          <t>Regular exposure, event can occur, avoidance difficult</t>
        </is>
      </c>
      <c r="C21" s="5" t="inlineStr">
        <is>
          <t>定期暴露、事件可能發生、難以迴避</t>
        </is>
      </c>
    </row>
    <row r="22">
      <c r="A22" s="5" t="inlineStr">
        <is>
          <t>Unlikely 不太可能</t>
        </is>
      </c>
      <c r="B22" s="5" t="inlineStr">
        <is>
          <t>Occasional exposure, event unlikely, avoidance possible</t>
        </is>
      </c>
      <c r="C22" s="5" t="inlineStr">
        <is>
          <t>偶爾暴露、事件不太可能發生、可迴避</t>
        </is>
      </c>
    </row>
    <row r="23">
      <c r="A23" s="5" t="inlineStr">
        <is>
          <t>Remote 極少</t>
        </is>
      </c>
      <c r="B23" s="5" t="inlineStr">
        <is>
          <t>Rare exposure, event only with multiple failures, avoidance possible</t>
        </is>
      </c>
      <c r="C23" s="5" t="inlineStr">
        <is>
          <t>極少暴露、須多重失效才發生、可迴避</t>
        </is>
      </c>
    </row>
    <row r="25">
      <c r="A25" s="7" t="inlineStr">
        <is>
          <t>Acceptance · 接受準則</t>
        </is>
      </c>
    </row>
    <row r="26" ht="32" customHeight="1">
      <c r="A26" s="3" t="inlineStr">
        <is>
          <t>Level 等級</t>
        </is>
      </c>
      <c r="B26" s="3" t="inlineStr">
        <is>
          <t>Meaning (EN)</t>
        </is>
      </c>
      <c r="C26" s="3" t="inlineStr">
        <is>
          <t>意義（繁中）</t>
        </is>
      </c>
    </row>
    <row r="27">
      <c r="A27" s="5" t="inlineStr">
        <is>
          <t>High 高</t>
        </is>
      </c>
      <c r="B27" s="5" t="inlineStr">
        <is>
          <t>Not acceptable — further risk reduction mandatory</t>
        </is>
      </c>
      <c r="C27" s="5" t="inlineStr">
        <is>
          <t>不可接受 — 必須進一步降低風險</t>
        </is>
      </c>
    </row>
    <row r="28">
      <c r="A28" s="5" t="inlineStr">
        <is>
          <t>Medium 中</t>
        </is>
      </c>
      <c r="B28" s="5" t="inlineStr">
        <is>
          <t>Tolerable only with the listed measures implemented, verified and documented (ALARP)</t>
        </is>
      </c>
      <c r="C28" s="5" t="inlineStr">
        <is>
          <t>僅在所列措施已實施、驗證並文件化時可容忍（ALARP）</t>
        </is>
      </c>
    </row>
    <row r="29">
      <c r="A29" s="5" t="inlineStr">
        <is>
          <t>Low 低</t>
        </is>
      </c>
      <c r="B29" s="5" t="inlineStr">
        <is>
          <t>Acceptable</t>
        </is>
      </c>
      <c r="C29" s="5" t="inlineStr">
        <is>
          <t>可接受</t>
        </is>
      </c>
    </row>
    <row r="30">
      <c r="A30" s="5" t="inlineStr">
        <is>
          <t>Negligible 可忽略</t>
        </is>
      </c>
      <c r="B30" s="5" t="inlineStr">
        <is>
          <t>Acceptable, no action</t>
        </is>
      </c>
      <c r="C30" s="5" t="inlineStr">
        <is>
          <t>可接受，無需措施</t>
        </is>
      </c>
    </row>
    <row r="32">
      <c r="A32" s="2" t="inlineStr">
        <is>
          <t>PLr (ISO 13849-1 risk graph S · F · P). ISO 10218-2 default minimum for robot-cell safety functions: PL d, Category 3. · PLr 依 ISO 13849-1 風險圖；ISO 10218-2 對機器人工作站安全功能預設最低 PL d、Cat. 3。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44" customWidth="1" min="4" max="4"/>
    <col width="40" customWidth="1" min="5" max="5"/>
    <col width="6" customWidth="1" min="6" max="6"/>
    <col width="10" customWidth="1" min="7" max="7"/>
    <col width="34" customWidth="1" min="8" max="8"/>
  </cols>
  <sheetData>
    <row r="1">
      <c r="A1" s="1" t="inlineStr">
        <is>
          <t>Safety functions (ISO 13849-1) · 安全功能</t>
        </is>
      </c>
    </row>
    <row r="3" ht="32" customHeight="1">
      <c r="A3" s="3" t="inlineStr">
        <is>
          <t>SF</t>
        </is>
      </c>
      <c r="B3" s="3" t="inlineStr">
        <is>
          <t>Function (EN)</t>
        </is>
      </c>
      <c r="C3" s="3" t="inlineStr">
        <is>
          <t>功能（繁中）</t>
        </is>
      </c>
      <c r="D3" s="3" t="inlineStr">
        <is>
          <t>Input → logic → output (EN)</t>
        </is>
      </c>
      <c r="E3" s="3" t="inlineStr">
        <is>
          <t>輸入 → 邏輯 → 輸出（繁中）</t>
        </is>
      </c>
      <c r="F3" s="3" t="inlineStr">
        <is>
          <t>PLr</t>
        </is>
      </c>
      <c r="G3" s="3" t="inlineStr">
        <is>
          <t>PL achieved 達成 PL</t>
        </is>
      </c>
      <c r="H3" s="3" t="inlineStr">
        <is>
          <t>Components 元件</t>
        </is>
      </c>
    </row>
    <row r="4" ht="42" customHeight="1">
      <c r="A4" s="4" t="inlineStr">
        <is>
          <t>SF1</t>
        </is>
      </c>
      <c r="B4" s="5" t="inlineStr">
        <is>
          <t>Cell guard stop</t>
        </is>
      </c>
      <c r="C4" s="5" t="inlineStr">
        <is>
          <t>工作站防護停止</t>
        </is>
      </c>
      <c r="D4" s="5" t="inlineStr">
        <is>
          <t>north + south door (guard locking) and 9 × OS32C → safety PLC → SafeStop cat. 1 of R1, R2, R3, S1, S2 (OmniCore SafeMove), all conveyor / lane / belt drives STO</t>
        </is>
      </c>
      <c r="E4" s="5" t="inlineStr">
        <is>
          <t>北側＋南側門（防護鎖）與 9 台 OS32C → 安全 PLC → R1、R2、R3、S1、S2 SafeStop cat. 1（OmniCore SafeMove），所有輸送／通道／輸送帶驅動 STO</t>
        </is>
      </c>
      <c r="F4" s="4" t="inlineStr">
        <is>
          <t>d</t>
        </is>
      </c>
      <c r="G4" s="4" t="inlineStr">
        <is>
          <t>d</t>
        </is>
      </c>
      <c r="H4" s="5" t="inlineStr">
        <is>
          <t>Omron NX-SL safety PLC, D4SL-N, OS32C, ABB SafeMove, MDR controllers with STO</t>
        </is>
      </c>
    </row>
    <row r="5" ht="42" customHeight="1">
      <c r="A5" s="4" t="inlineStr">
        <is>
          <t>SF2</t>
        </is>
      </c>
      <c r="B5" s="5" t="inlineStr">
        <is>
          <t>SafeMove zones and tool speed</t>
        </is>
      </c>
      <c r="C5" s="5" t="inlineStr">
        <is>
          <t>SafeMove 區域與工具速度</t>
        </is>
      </c>
      <c r="D5" s="5" t="inlineStr">
        <is>
          <t>Safe Zone per robot (R1 ring interior + port heads; R2 / R3 picking area; S1 / S2 belt + own lane heads), Tool Speed Supervision 2.5 / 2.2 / 2.5 m/s automatic, 250 mm/s T1</t>
        </is>
      </c>
      <c r="E5" s="5" t="inlineStr">
        <is>
          <t>每台機器人 Safe Zone（R1 圓環內部＋埠口輸送頭；R2／R3 揀貨區；S1／S2 輸送帶＋自身通道端），自動時工具速度監視 2.5／2.2／2.5 m/s，T1 250 mm/s</t>
        </is>
      </c>
      <c r="F5" s="4" t="inlineStr">
        <is>
          <t>d</t>
        </is>
      </c>
      <c r="G5" s="4" t="inlineStr">
        <is>
          <t>d</t>
        </is>
      </c>
      <c r="H5" s="5" t="inlineStr">
        <is>
          <t>ABB SafeMove (OmniCore)</t>
        </is>
      </c>
    </row>
    <row r="6" ht="42" customHeight="1">
      <c r="A6" s="4" t="inlineStr">
        <is>
          <t>SF3</t>
        </is>
      </c>
      <c r="B6" s="5" t="inlineStr">
        <is>
          <t>Guard locking of the cell doors</t>
        </is>
      </c>
      <c r="C6" s="5" t="inlineStr">
        <is>
          <t>工作站門防護鎖</t>
        </is>
      </c>
      <c r="D6" s="5" t="inlineStr">
        <is>
          <t>D4SL-N unlocked only with SafeMove Stand Still of all five robots and all drives in STO; escape release inside; personal padlock for ring entries</t>
        </is>
      </c>
      <c r="E6" s="5" t="inlineStr">
        <is>
          <t>D4SL-N 僅於五台機器人 SafeMove Stand Still 且所有驅動 STO 時解鎖；內側設逃生解鎖；進入圓環時個人掛鎖</t>
        </is>
      </c>
      <c r="F6" s="4" t="inlineStr">
        <is>
          <t>d</t>
        </is>
      </c>
      <c r="G6" s="4" t="inlineStr">
        <is>
          <t>d</t>
        </is>
      </c>
      <c r="H6" s="5" t="inlineStr">
        <is>
          <t>D4SL-N, ABB SafeMove Stand Still, NX-SL</t>
        </is>
      </c>
    </row>
    <row r="7" ht="42" customHeight="1">
      <c r="A7" s="4" t="inlineStr">
        <is>
          <t>SF4</t>
        </is>
      </c>
      <c r="B7" s="5" t="inlineStr">
        <is>
          <t>Reset / restart prevention (ring interior)</t>
        </is>
      </c>
      <c r="C7" s="5" t="inlineStr">
        <is>
          <t>復歸／防止重啟（圓環內部）</t>
        </is>
      </c>
      <c r="D7" s="5" t="inlineStr">
        <is>
          <t>reset at the south-door HMI only; refused while any scanner field — including the two on the R1 pedestal that watch the ring interior hidden behind the shelf — is occupied</t>
        </is>
      </c>
      <c r="E7" s="5" t="inlineStr">
        <is>
          <t>僅於南門 HMI 復歸；任一掃描器防護區有人時拒絕 — 包含 R1 基座上監視被料架遮蔽之圓環內部的兩台</t>
        </is>
      </c>
      <c r="F7" s="4" t="inlineStr">
        <is>
          <t>d</t>
        </is>
      </c>
      <c r="G7" s="4" t="inlineStr">
        <is>
          <t>d</t>
        </is>
      </c>
      <c r="H7" s="5" t="inlineStr">
        <is>
          <t>OS32C, NX-SL</t>
        </is>
      </c>
    </row>
    <row r="8" ht="42" customHeight="1">
      <c r="A8" s="4" t="inlineStr">
        <is>
          <t>SF5</t>
        </is>
      </c>
      <c r="B8" s="5" t="inlineStr">
        <is>
          <t>Emergency stop</t>
        </is>
      </c>
      <c r="C8" s="5" t="inlineStr">
        <is>
          <t>緊急停止</t>
        </is>
      </c>
      <c r="D8" s="5" t="inlineStr">
        <is>
          <t>7 E-stop stations (both doors, restock station, put wall × 2, exception chute, south-west corner) → safety PLC → robots cat. 1, all drives STO</t>
        </is>
      </c>
      <c r="E8" s="5" t="inlineStr">
        <is>
          <t>7 處緊急停止（兩扇門、補貨站、放置牆 × 2、例外滑槽、西南角）→ 安全 PLC → 機器人 cat. 1、所有驅動 STO</t>
        </is>
      </c>
      <c r="F8" s="4" t="inlineStr">
        <is>
          <t>d</t>
        </is>
      </c>
      <c r="G8" s="4" t="inlineStr">
        <is>
          <t>e</t>
        </is>
      </c>
      <c r="H8" s="5" t="inlineStr">
        <is>
          <t>A22E, NX-SL</t>
        </is>
      </c>
    </row>
    <row r="9" ht="42" customHeight="1">
      <c r="A9" s="4" t="inlineStr">
        <is>
          <t>SF6</t>
        </is>
      </c>
      <c r="B9" s="5" t="inlineStr">
        <is>
          <t>Restock tunnel curtain with muting</t>
        </is>
      </c>
      <c r="C9" s="5" t="inlineStr">
        <is>
          <t>補貨隧道光幕與遮蔽</t>
        </is>
      </c>
      <c r="D9" s="5" t="inlineStr">
        <is>
          <t>F3SG-PG multi-beam at the tunnel mouth, muted by two bin sensors only while a bin crosses (≤ 4 s, muting lamp); interruption otherwise → R1 cat. 1 + restock loop STO</t>
        </is>
      </c>
      <c r="E9" s="5" t="inlineStr">
        <is>
          <t>隧道口 F3SG-PG 多光束光幕，僅於料箱通過時由兩個料箱感測器遮蔽（≤ 4 s，遮蔽指示燈）；其他時候遮斷 → R1 cat. 1＋補貨迴路 STO</t>
        </is>
      </c>
      <c r="F9" s="4" t="inlineStr">
        <is>
          <t>d</t>
        </is>
      </c>
      <c r="G9" s="4" t="inlineStr">
        <is>
          <t>d</t>
        </is>
      </c>
      <c r="H9" s="5" t="inlineStr">
        <is>
          <t>F3SG-PG, muting sensors, NX-SL</t>
        </is>
      </c>
    </row>
    <row r="10" ht="42" customHeight="1">
      <c r="A10" s="4" t="inlineStr">
        <is>
          <t>SF7</t>
        </is>
      </c>
      <c r="B10" s="5" t="inlineStr">
        <is>
          <t>Put-wall curtains and lane interlock</t>
        </is>
      </c>
      <c r="C10" s="5" t="inlineStr">
        <is>
          <t>放置牆光幕與通道互鎖</t>
        </is>
      </c>
      <c r="D10" s="5" t="inlineStr">
        <is>
          <t>F3SG-PG 30 mm per 4-lane block, muted only while a lane of that block moves a case; lane drive enabled only with SafeMove "sorter tool out of the lane zone"; interruption → S1 / S2 cat. 1 + lanes STO</t>
        </is>
      </c>
      <c r="E10" s="5" t="inlineStr">
        <is>
          <t>每 4 條通道一組 F3SG-PG 30 mm 光幕，僅於該組通道移動訂單箱時遮蔽；僅於 SafeMove「分揀工具離開通道區」時致能通道驅動；遮斷 → S1／S2 cat. 1＋通道 STO</t>
        </is>
      </c>
      <c r="F10" s="4" t="inlineStr">
        <is>
          <t>d</t>
        </is>
      </c>
      <c r="G10" s="4" t="inlineStr">
        <is>
          <t>d</t>
        </is>
      </c>
      <c r="H10" s="5" t="inlineStr">
        <is>
          <t>F3SG-PG 30 mm, ABB SafeMove zone output, NX-SL, MDR STO</t>
        </is>
      </c>
    </row>
    <row r="12">
      <c r="A12" s="2" t="inlineStr">
        <is>
          <t>Achieved PL = manufacturer rating of the device; the complete loop must be validated per ISO 13849-2. · 達成 PL 為元件額定值；完整迴路須依 ISO 13849-2 驗證。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40" customWidth="1" min="3" max="3"/>
    <col width="48" customWidth="1" min="4" max="4"/>
    <col width="44" customWidth="1" min="5" max="5"/>
    <col width="14" customWidth="1" min="6" max="6"/>
  </cols>
  <sheetData>
    <row r="1">
      <c r="A1" s="1" t="inlineStr">
        <is>
          <t>Items HIGH after the first safeguarding pass — discussion and resolution · 首輪防護後仍為高風險之項目 — 討論與處理</t>
        </is>
      </c>
    </row>
    <row r="3" ht="32" customHeight="1">
      <c r="A3" s="3" t="inlineStr">
        <is>
          <t>ID</t>
        </is>
      </c>
      <c r="B3" s="3" t="inlineStr">
        <is>
          <t>Finding (EN)</t>
        </is>
      </c>
      <c r="C3" s="3" t="inlineStr">
        <is>
          <t>發現（繁中）</t>
        </is>
      </c>
      <c r="D3" s="3" t="inlineStr">
        <is>
          <t>Resolution adopted (EN)</t>
        </is>
      </c>
      <c r="E3" s="3" t="inlineStr">
        <is>
          <t>採用之處理（繁中）</t>
        </is>
      </c>
      <c r="F3" s="3" t="inlineStr">
        <is>
          <t>Status 狀態</t>
        </is>
      </c>
    </row>
    <row r="4" ht="80" customHeight="1">
      <c r="A4" s="4" t="inlineStr">
        <is>
          <t>H2</t>
        </is>
      </c>
      <c r="B4" s="5" t="inlineStr">
        <is>
          <t>In the video the IRB 1200 pickers and the IRB 360 sorters stand next to open walkways with no visible guarding; the shelf robot is enclosed only by the shelf.</t>
        </is>
      </c>
      <c r="C4" s="5" t="inlineStr">
        <is>
          <t>影片中 IRB 1200 揀貨機器人與 IRB 360 分揀機器人位於開放走道旁，未見防護；料架機器人僅由料架包圍。</t>
        </is>
      </c>
      <c r="D4" s="5" t="inlineStr">
        <is>
          <t>The whole system is one guarded zone; the only material interfaces are the restock tunnel (multi-beam, muted), the 8 put-wall lanes (30 mm curtains, muted) and the covered exception chute — operators work only outside.</t>
        </is>
      </c>
      <c r="E4" s="5" t="inlineStr">
        <is>
          <t>整個系統為單一防護區；唯一物料介面為補貨隧道（多光束、遮蔽）、8 條放置牆通道（30 mm 光幕、遮蔽）與有蓋例外滑槽 — 作業員僅於外部作業。</t>
        </is>
      </c>
      <c r="F4" s="4" t="inlineStr">
        <is>
          <t>Resolved 已處理</t>
        </is>
      </c>
    </row>
    <row r="5" ht="80" customHeight="1">
      <c r="A5" s="4" t="inlineStr">
        <is>
          <t>H1</t>
        </is>
      </c>
      <c r="B5" s="5" t="inlineStr">
        <is>
          <t>First R1 tool: a horizontal fork on a sideways flange (side mode) put the wrist into the A5 = 0 singularity at mid levels — A4 / A6 turned about one revolution per bin move (A6 range 18 000° in 1 h).</t>
        </is>
      </c>
      <c r="C5" s="5" t="inlineStr">
        <is>
          <t>初版 R1 工具：側向法蘭上之水平貨叉（側向模式）使手腕於中段層位進入 A5 = 0 奇異點 — 每次搬移料箱 A4／A6 約轉一圈（1 h 內 A6 範圍 18 000°）。</t>
        </is>
      </c>
      <c r="D5" s="5" t="inlineStr">
        <is>
          <t>L-fork under a downward flange (mast 0.3 m, bin centre 0.55 m ahead of the TCP): A4 0°, A6 ±23°, A5 −2…126° over 4 × 1 h, all 8 levels in reach.</t>
        </is>
      </c>
      <c r="E5" s="5" t="inlineStr">
        <is>
          <t>向下法蘭下之 L 形貨叉（立柱 0.3 m，料箱中心在 TCP 前 0.55 m）：4 × 1 h A4 0°、A6 ±23°、A5 −2…126°，8 層皆可達。</t>
        </is>
      </c>
      <c r="F5" s="4" t="inlineStr">
        <is>
          <t>Resolved 已處理</t>
        </is>
      </c>
    </row>
    <row r="6" ht="80" customHeight="1">
      <c r="A6" s="4" t="inlineStr">
        <is>
          <t>H1</t>
        </is>
      </c>
      <c r="B6" s="5" t="inlineStr">
        <is>
          <t>Top level: with the first fork offset (0.45 m) the R1 wrist stood at the shelf face (r 2.0 m) and rose to the top ring beam (3.35 m).</t>
        </is>
      </c>
      <c r="C6" s="5" t="inlineStr">
        <is>
          <t>最上層：初版貨叉偏移（0.45 m）時 R1 手腕位於料架面（r 2.0 m）並升至頂部環樑（3.35 m）。</t>
        </is>
      </c>
      <c r="D6" s="5" t="inlineStr">
        <is>
          <t>Fork offset 0.55 m (wrist 0.1 m inside the face), top ring raised to 3.75 m: arm ≥ 0.02 m inside the shelf face outside the served column, 0 shelf contacts.</t>
        </is>
      </c>
      <c r="E6" s="5" t="inlineStr">
        <is>
          <t>貨叉偏移 0.55 m（手腕在料架面內 0.1 m），頂部環樑升至 3.75 m：服務欄位外手臂於料架面內 ≥ 0.02 m，料架接觸 0 次。</t>
        </is>
      </c>
      <c r="F6" s="4" t="inlineStr">
        <is>
          <t>Resolved 已處理</t>
        </is>
      </c>
    </row>
    <row r="7" ht="80" customHeight="1">
      <c r="A7" s="4" t="inlineStr">
        <is>
          <t>H2</t>
        </is>
      </c>
      <c r="B7" s="5" t="inlineStr">
        <is>
          <t>R2 / R3 stand between the bin stop (south) and the item belt (north): the straight moves passed over their own base (94 reach failures in the first 120 s).</t>
        </is>
      </c>
      <c r="C7" s="5" t="inlineStr">
        <is>
          <t>R2／R3 位於料箱停止位（南）與物品輸送帶（北）之間：直線移動越過自身基座（前 120 s 可達性失敗 94 次）。</t>
        </is>
      </c>
      <c r="D7" s="5" t="inlineStr">
        <is>
          <t>Bases turned (A1 = 0 faces west), every bin ↔ belt move swings round the west side at r ≥ 0.6 m: 0 reach failures, R2 ↔ R3 ≥ 0.33 m.</t>
        </is>
      </c>
      <c r="E7" s="5" t="inlineStr">
        <is>
          <t>基座轉向（A1 = 0 朝西），料箱 ↔ 輸送帶移動一律經西側 r ≥ 0.6 m 迴轉：可達性失敗 0 次，R2 ↔ R3 ≥ 0.33 m。</t>
        </is>
      </c>
      <c r="F7" s="4" t="inlineStr">
        <is>
          <t>Resolved 已處理</t>
        </is>
      </c>
    </row>
    <row r="8" ht="80" customHeight="1">
      <c r="A8" s="4" t="inlineStr">
        <is>
          <t>H2</t>
        </is>
      </c>
      <c r="B8" s="5" t="inlineStr">
        <is>
          <t>S1 swung to its far put-wall lane on an arc of r 0.75 m: link 2 came within 0.016 m of the put-wall hood.</t>
        </is>
      </c>
      <c r="C8" s="5" t="inlineStr">
        <is>
          <t>S1 以 r 0.75 m 弧線擺向最遠放置牆通道：連桿 2 距放置牆罩 0.016 m。</t>
        </is>
      </c>
      <c r="D8" s="5" t="inlineStr">
        <is>
          <t>Sorter arcs ≤ 0.62 m from the base: S1 / S2 ≥ 0.058 m from the hoods, S1 ↔ S2 ≥ 0.25 m.</t>
        </is>
      </c>
      <c r="E8" s="5" t="inlineStr">
        <is>
          <t>分揀弧線距基座 ≤ 0.62 m：S1／S2 距罩 ≥ 0.058 m，S1 ↔ S2 ≥ 0.25 m。</t>
        </is>
      </c>
      <c r="F8" s="4" t="inlineStr">
        <is>
          <t>Resolved 已處理</t>
        </is>
      </c>
    </row>
    <row r="9" ht="80" customHeight="1">
      <c r="A9" s="4" t="inlineStr">
        <is>
          <t>H7</t>
        </is>
      </c>
      <c r="B9" s="5" t="inlineStr">
        <is>
          <t>A multi-beam (whole-body) curtain at the put-wall tunnel mouths needs S = 1250 mm; only 970 mm are available to the sorter cup.</t>
        </is>
      </c>
      <c r="C9" s="5" t="inlineStr">
        <is>
          <t>放置牆隧道口若用多光束（全身）光幕需 S = 1250 mm；至分揀吸盤僅有 970 mm。</t>
        </is>
      </c>
      <c r="D9" s="5" t="inlineStr">
        <is>
          <t>Tunnel mouths limited to 0.37 × 0.30 m (no body access) and guarded by 30 mm hand-detection curtains: S = 528 mm ≤ 970 mm.</t>
        </is>
      </c>
      <c r="E9" s="5" t="inlineStr">
        <is>
          <t>隧道口限制為 0.37 × 0.30 m（無法全身進入），以 30 mm 手部檢知光幕防護：S = 528 mm ≤ 970 mm。</t>
        </is>
      </c>
      <c r="F9" s="4" t="inlineStr">
        <is>
          <t>Resolved 已處理</t>
        </is>
      </c>
    </row>
    <row r="10" ht="80" customHeight="1">
      <c r="A10" s="4" t="inlineStr">
        <is>
          <t>H9</t>
        </is>
      </c>
      <c r="B10" s="5" t="inlineStr">
        <is>
          <t>Cable audit: the side bar-code reader cable on the arch post passed 0.043 m from the carton carried by S1.</t>
        </is>
      </c>
      <c r="C10" s="5" t="inlineStr">
        <is>
          <t>電纜稽核：條碼門架柱上側向讀取器電纜距 S1 搬運之紙箱 0.043 m。</t>
        </is>
      </c>
      <c r="D10" s="5" t="inlineStr">
        <is>
          <t>Arch moved 0.2 m upstream (x 6.35 m): 0 cable runs / rises within 0.05 m of a tool or carried part, minimum 0.091 m.</t>
        </is>
      </c>
      <c r="E10" s="5" t="inlineStr">
        <is>
          <t>門架上游移 0.2 m（x 6.35 m）：電纜水平段／上升段距工具或搬運件 0.05 m 內 0 處，最小 0.091 m。</t>
        </is>
      </c>
      <c r="F10" s="4" t="inlineStr">
        <is>
          <t>Resolved 已處理</t>
        </is>
      </c>
    </row>
    <row r="11" ht="80" customHeight="1">
      <c r="A11" s="4" t="inlineStr">
        <is>
          <t>H8</t>
        </is>
      </c>
      <c r="B11" s="5" t="inlineStr">
        <is>
          <t>Bin routing: choosing the stop when a bin arrived at the decision point sent most bins to P1 while P2 was still clearing — R3 3 % busy, bins queued behind P1.</t>
        </is>
      </c>
      <c r="C11" s="5" t="inlineStr">
        <is>
          <t>料箱路由：料箱抵達判斷點時即選擇停止位，P2 尚在清空時多數料箱送往 P1 — R3 稼動 3 %，料箱於 P1 後排隊。</t>
        </is>
      </c>
      <c r="D11" s="5" t="inlineStr">
        <is>
          <t>Stop chosen when the bin can leave the decision point (P1 free): P2 unless a bin is already at / heading to it — R2 / R3 43 / 40 % busy, 0 bins moving under a gripper, no stall in 4 × 1 h.</t>
        </is>
      </c>
      <c r="E11" s="5" t="inlineStr">
        <is>
          <t>於料箱可離開判斷點（P1 淨空）時選擇停止位：除非已有料箱在／前往 P2，否則送 P2 — R2／R3 稼動 43／40 %，夾爪下方料箱移動 0 次，4 × 1 h 無停滯。</t>
        </is>
      </c>
      <c r="F11" s="4" t="inlineStr">
        <is>
          <t>Resolved 已處理</t>
        </is>
      </c>
    </row>
    <row r="12" ht="80" customHeight="1">
      <c r="A12" s="4" t="inlineStr">
        <is>
          <t>H18</t>
        </is>
      </c>
      <c r="B12" s="5" t="inlineStr">
        <is>
          <t>First electrical plan: one drive + one sensor per conveyor zone put 13 / 22 / 23 devices on the 12-port JBs JP1 / JP2 / JR1; the two scanners on the R1 pedestal had no cable carrier, then 10.3 / 11.9 m cordsets.</t>
        </is>
      </c>
      <c r="C12" s="5" t="inlineStr">
        <is>
          <t>第一版電氣規劃：每一輸送區段一個驅動＋一個感測器使 12 埠之 JP1／JP2／JR1 分別連接 13／22／23 個元件；R1 基座上兩台掃描器無電纜載體，之後感測器電纜達 10.3／11.9 m。</t>
        </is>
      </c>
      <c r="D12" s="5" t="inlineStr">
        <is>
          <t>Zone-controller cards (two MDR zones each) and bin sensors only at the decision points, a second restock JB (JR2), the R1 floor bridge continued round the pedestal and JC1 at the north fence beside the passage: 0 issues, 84 devices on 9 JBs, longest cordset 9.4 m.</t>
        </is>
      </c>
      <c r="E12" s="5" t="inlineStr">
        <is>
          <t>區段控制卡（每卡兩個 MDR 區段）且料箱感測器僅設於判斷點，增設第二個補貨接線盒（JR2），R1 地面線槽延伸繞過基座並於北側圍籬通道旁設 JC1：0 項問題，9 個接線盒共 84 個元件，最長感測器電纜 9.4 m。</t>
        </is>
      </c>
      <c r="F12" s="4" t="inlineStr">
        <is>
          <t>Resolved 已處理</t>
        </is>
      </c>
    </row>
    <row r="13" ht="80" customHeight="1">
      <c r="A13" s="4" t="inlineStr">
        <is>
          <t>H2</t>
        </is>
      </c>
      <c r="B13" s="5" t="inlineStr">
        <is>
          <t>RC2 south of the cell: R2 / R3 manipulator cables 30.4 / 31.9 m (&gt; 30 m) and its service area in the south door swing; the north trunk had a 3.9 m unsupported span over the put-wall tunnels and JN1 / JN2 stood 0.8 m off the trunk.</t>
        </is>
      </c>
      <c r="C13" s="5" t="inlineStr">
        <is>
          <t>RC2 位於工作站南側：R2／R3 本體電纜 30.4／31.9 m（&gt; 30 m）且其維修區位於南門迴轉範圍內；北側主線槽於放置牆隧道上方有 3.9 m 無支撐跨距，JN1／JN2 距主線槽 0.8 m。</t>
        </is>
      </c>
      <c r="D13" s="5" t="inlineStr">
        <is>
          <t>RC2 moved north beside the cylinder passage (manipulator cables 6.2 / 7.7 / 11.0 / 15.4 m), 4 m ladder tray over the put-wall tunnels, JN1 / JN2 on the trunk 0.35 m along from the S1 / S2 bridge risers: robot ↔ installation ≥ 0.37 m.</t>
        </is>
      </c>
      <c r="E13" s="5" t="inlineStr">
        <is>
          <t>RC2 移至北側圓筒通道旁（本體電纜 6.2／7.7／11.0／15.4 m），放置牆隧道上方 4 m 梯式線槽，JN1／JN2 位於主線槽上距 S1／S2 地面線槽上升處 0.35 m：機器人與電氣設施 ≥ 0.37 m。</t>
        </is>
      </c>
      <c r="F13" s="4" t="inlineStr">
        <is>
          <t>Resolved 已處理</t>
        </is>
      </c>
    </row>
    <row r="15" ht="48" customHeight="1">
      <c r="A15" s="11" t="inlineStr">
        <is>
          <t>Result: No residual High. H1, H3, H5 and H15 remain Medium (catastrophic severity, remote probability) — inherent to a shelf robot and a 3.75 m storage ring, tolerable only with SF1–SF7 (PL d / e) implemented, verified and documented and the shelf designed / inspected per EN 15512 / EN 15635; H11 remains Low (manual handling, Moderate / Unlikely); all other hazards Low or Negligible. Electrical plan (RevA): every cabinet outside the guarded area with a clear service area (4 / 4), all cables on supported trays, ducts and floor bridges, none across a flow path or lane; H17, H18, H19 added (cable damage, installations in walkways and lanes, cabinets) — Low after the measures; 2 findings of the plan resolved and mirrored in the 3D layout. · 結果：無殘餘「高」風險。H1、H3、H5、H15 維持「中」（災難性嚴重度、極少機率）— 為料架機器人與 3.75 m 儲存圓環固有，僅在 SF1–SF7（PL d／e）已實施、驗證並文件化且料架依 EN 15512／EN 15635 設計與檢查時可容忍；H11 維持「低」（人工搬運，中度／不太可能）；其餘危害皆為「低」或「可忽略」。 電氣規劃（RevA）：所有電櫃位於防護區外並具淨空維修區（4 / 4），所有電纜敷設於有支撐之線槽、線管與地面線槽，不橫越物流路徑或車道；新增 H17, H18, H19（電纜損傷、走道與車道中之電氣設施、電櫃）— 採取措施後為「低」；規劃中發現 2 項問題已處理並納入 3D 佈局。</t>
        </is>
      </c>
    </row>
  </sheetData>
  <mergeCells count="1"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56" customWidth="1" min="3" max="3"/>
  </cols>
  <sheetData>
    <row r="1">
      <c r="A1" s="1" t="inlineStr">
        <is>
          <t>Applicable standards · 適用標準</t>
        </is>
      </c>
    </row>
    <row r="3" ht="32" customHeight="1">
      <c r="A3" s="3" t="inlineStr">
        <is>
          <t>Standard 標準</t>
        </is>
      </c>
      <c r="B3" s="3" t="inlineStr">
        <is>
          <t>Scope (EN)</t>
        </is>
      </c>
      <c r="C3" s="3" t="inlineStr">
        <is>
          <t>範圍（繁中）</t>
        </is>
      </c>
    </row>
    <row r="4">
      <c r="A4" s="5" t="inlineStr">
        <is>
          <t>ISO 12100:2010</t>
        </is>
      </c>
      <c r="B4" s="5" t="inlineStr">
        <is>
          <t>Safety of machinery — risk assessment and risk reduction (3-step method)</t>
        </is>
      </c>
      <c r="C4" s="5" t="inlineStr">
        <is>
          <t>機械安全 — 風險評估與風險降低（三步驟法）</t>
        </is>
      </c>
    </row>
    <row r="5">
      <c r="A5" s="5" t="inlineStr">
        <is>
          <t>ISO/TR 14121-2</t>
        </is>
      </c>
      <c r="B5" s="5" t="inlineStr">
        <is>
          <t>Risk assessment — practical guidance and examples (risk matrix used here)</t>
        </is>
      </c>
      <c r="C5" s="5" t="inlineStr">
        <is>
          <t>風險評估 — 實務指引與範例（本文件採用之風險矩陣）</t>
        </is>
      </c>
    </row>
    <row r="6">
      <c r="A6" s="5" t="inlineStr">
        <is>
          <t>ISO 10218-1 / -2</t>
        </is>
      </c>
      <c r="B6" s="5" t="inlineStr">
        <is>
          <t>Industrial robots — robot and robot system / cell integration</t>
        </is>
      </c>
      <c r="C6" s="5" t="inlineStr">
        <is>
          <t>工業機器人 — 機器人本體／機器人系統與工作站整合</t>
        </is>
      </c>
    </row>
    <row r="7">
      <c r="A7" s="5" t="inlineStr">
        <is>
          <t>ISO 11161</t>
        </is>
      </c>
      <c r="B7" s="5" t="inlineStr">
        <is>
          <t>Integrated manufacturing systems — zones, spans of control (bay zoning)</t>
        </is>
      </c>
      <c r="C7" s="5" t="inlineStr">
        <is>
          <t>整合製造系統 — 區域劃分、控制範圍（棧板區分區）</t>
        </is>
      </c>
    </row>
    <row r="8">
      <c r="A8" s="5" t="inlineStr">
        <is>
          <t>ISO 13849-1 / -2</t>
        </is>
      </c>
      <c r="B8" s="5" t="inlineStr">
        <is>
          <t>Safety-related parts of control systems — PL, Category; validation</t>
        </is>
      </c>
      <c r="C8" s="5" t="inlineStr">
        <is>
          <t>控制系統安全相關部分 — PL、Category；驗證</t>
        </is>
      </c>
    </row>
    <row r="9">
      <c r="A9" s="5" t="inlineStr">
        <is>
          <t>IEC 60204-1</t>
        </is>
      </c>
      <c r="B9" s="5" t="inlineStr">
        <is>
          <t>Electrical equipment of machines</t>
        </is>
      </c>
      <c r="C9" s="5" t="inlineStr">
        <is>
          <t>機械電氣設備</t>
        </is>
      </c>
    </row>
    <row r="10">
      <c r="A10" s="5" t="inlineStr">
        <is>
          <t>ISO 13850</t>
        </is>
      </c>
      <c r="B10" s="5" t="inlineStr">
        <is>
          <t>Emergency stop function</t>
        </is>
      </c>
      <c r="C10" s="5" t="inlineStr">
        <is>
          <t>緊急停止功能</t>
        </is>
      </c>
    </row>
    <row r="11">
      <c r="A11" s="5" t="inlineStr">
        <is>
          <t>ISO 13855</t>
        </is>
      </c>
      <c r="B11" s="5" t="inlineStr">
        <is>
          <t>Positioning of safeguards with respect to approach speeds (S = K·T + C)</t>
        </is>
      </c>
      <c r="C11" s="5" t="inlineStr">
        <is>
          <t>依接近速度定位安全防護裝置（S = K·T + C）</t>
        </is>
      </c>
    </row>
    <row r="12">
      <c r="A12" s="5" t="inlineStr">
        <is>
          <t>ISO 13857</t>
        </is>
      </c>
      <c r="B12" s="5" t="inlineStr">
        <is>
          <t>Safety distances — reaching over / through openings</t>
        </is>
      </c>
      <c r="C12" s="5" t="inlineStr">
        <is>
          <t>安全距離 — 跨越／穿過開口伸入</t>
        </is>
      </c>
    </row>
    <row r="13">
      <c r="A13" s="5" t="inlineStr">
        <is>
          <t>ISO 14120</t>
        </is>
      </c>
      <c r="B13" s="5" t="inlineStr">
        <is>
          <t>Guards — fixed and movable</t>
        </is>
      </c>
      <c r="C13" s="5" t="inlineStr">
        <is>
          <t>防護裝置 — 固定式與可動式</t>
        </is>
      </c>
    </row>
    <row r="14">
      <c r="A14" s="5" t="inlineStr">
        <is>
          <t>ISO 14119</t>
        </is>
      </c>
      <c r="B14" s="5" t="inlineStr">
        <is>
          <t>Interlocking devices, guard locking</t>
        </is>
      </c>
      <c r="C14" s="5" t="inlineStr">
        <is>
          <t>互鎖裝置、防護鎖</t>
        </is>
      </c>
    </row>
    <row r="15">
      <c r="A15" s="5" t="inlineStr">
        <is>
          <t>ISO 14118</t>
        </is>
      </c>
      <c r="B15" s="5" t="inlineStr">
        <is>
          <t>Prevention of unexpected start-up</t>
        </is>
      </c>
      <c r="C15" s="5" t="inlineStr">
        <is>
          <t>防止非預期啟動</t>
        </is>
      </c>
    </row>
    <row r="16">
      <c r="A16" s="5" t="inlineStr">
        <is>
          <t>IEC 61496-1 / -2 / -3</t>
        </is>
      </c>
      <c r="B16" s="5" t="inlineStr">
        <is>
          <t>ESPE — light curtains (Type 4), laser scanners (Type 3)</t>
        </is>
      </c>
      <c r="C16" s="5" t="inlineStr">
        <is>
          <t>ESPE — 安全光柵（Type 4）、雷射掃描器（Type 3）</t>
        </is>
      </c>
    </row>
    <row r="17">
      <c r="A17" s="5" t="inlineStr">
        <is>
          <t>IEC 62046</t>
        </is>
      </c>
      <c r="B17" s="5" t="inlineStr">
        <is>
          <t>Application of protective equipment to detect persons, muting</t>
        </is>
      </c>
      <c r="C17" s="5" t="inlineStr">
        <is>
          <t>人員偵測防護設備之應用、屏蔽</t>
        </is>
      </c>
    </row>
    <row r="18">
      <c r="A18" s="5" t="inlineStr">
        <is>
          <t>EN 619</t>
        </is>
      </c>
      <c r="B18" s="5" t="inlineStr">
        <is>
          <t>Unit-load conveyors — safety requirements</t>
        </is>
      </c>
      <c r="C18" s="5" t="inlineStr">
        <is>
          <t>單元負載輸送設備 — 安全要求</t>
        </is>
      </c>
    </row>
    <row r="19">
      <c r="A19" s="5" t="inlineStr">
        <is>
          <t>ISO 11228-1 / -2</t>
        </is>
      </c>
      <c r="B19" s="5" t="inlineStr">
        <is>
          <t>Ergonomics — manual lifting, pushing and pulling</t>
        </is>
      </c>
      <c r="C19" s="5" t="inlineStr">
        <is>
          <t>人因工程 — 人工抬舉、推拉</t>
        </is>
      </c>
    </row>
    <row r="20">
      <c r="A20" s="5" t="inlineStr">
        <is>
          <t>ISO 14122</t>
        </is>
      </c>
      <c r="B20" s="5" t="inlineStr">
        <is>
          <t>Permanent means of access to machinery (pedestal, platforms)</t>
        </is>
      </c>
      <c r="C20" s="5" t="inlineStr">
        <is>
          <t>機械之固定通道（基座、平台）</t>
        </is>
      </c>
    </row>
    <row r="21">
      <c r="A21" s="5" t="inlineStr">
        <is>
          <t>IEC 61439-1 / -2</t>
        </is>
      </c>
      <c r="B21" s="5" t="inlineStr">
        <is>
          <t>Low-voltage switchgear and controlgear assemblies (MCP, sub-cabinets)</t>
        </is>
      </c>
      <c r="C21" s="5" t="inlineStr">
        <is>
          <t>低壓開關設備及控制設備組件（MCP、子盤）</t>
        </is>
      </c>
    </row>
    <row r="22">
      <c r="A22" s="5" t="inlineStr">
        <is>
          <t>IEC 60364-7-729</t>
        </is>
      </c>
      <c r="B22" s="5" t="inlineStr">
        <is>
          <t>Low-voltage installations — operating and maintenance gangways (cabinet service areas)</t>
        </is>
      </c>
      <c r="C22" s="5" t="inlineStr">
        <is>
          <t>低壓電氣裝置 — 操作與維修通道（電櫃維修區）</t>
        </is>
      </c>
    </row>
    <row r="23">
      <c r="A23" s="5" t="inlineStr">
        <is>
          <t>IEC 61537</t>
        </is>
      </c>
      <c r="B23" s="5" t="inlineStr">
        <is>
          <t>Cable management — cable tray and cable ladder systems (supports, spans, loads)</t>
        </is>
      </c>
      <c r="C23" s="5" t="inlineStr">
        <is>
          <t>電纜管理 — 電纜托盤及梯架系統（支撐、跨距、荷重）</t>
        </is>
      </c>
    </row>
    <row r="24">
      <c r="A24" s="5" t="inlineStr">
        <is>
          <t>IEC 60364-5-52</t>
        </is>
      </c>
      <c r="B24" s="5" t="inlineStr">
        <is>
          <t>Selection and erection of wiring systems (tray fill, protection against damage)</t>
        </is>
      </c>
      <c r="C24" s="5" t="inlineStr">
        <is>
          <t>配線系統之選用與安裝（線槽填充、防損保護）</t>
        </is>
      </c>
    </row>
    <row r="25">
      <c r="A25" s="5" t="inlineStr">
        <is>
          <t>EN 15512, EN 15620, EN 15635</t>
        </is>
      </c>
      <c r="B25" s="5" t="inlineStr">
        <is>
          <t>Steel static storage systems — design, tolerances, use and inspection (cylinder shelf)</t>
        </is>
      </c>
      <c r="C25" s="5" t="inlineStr">
        <is>
          <t>鋼製靜態儲存系統 — 設計、公差、使用與檢查（圓筒料架）</t>
        </is>
      </c>
    </row>
    <row r="26">
      <c r="A26" s="5" t="inlineStr">
        <is>
          <t>ISO 4414</t>
        </is>
      </c>
      <c r="B26" s="5" t="inlineStr">
        <is>
          <t>Pneumatic fluid power — vacuum grippers, stoppers</t>
        </is>
      </c>
      <c r="C26" s="5" t="inlineStr">
        <is>
          <t>氣壓動力 — 真空夾爪、停止器</t>
        </is>
      </c>
    </row>
    <row r="27">
      <c r="A27" s="5" t="inlineStr">
        <is>
          <t>IEC 60825-1, IEC 62471</t>
        </is>
      </c>
      <c r="B27" s="5" t="inlineStr">
        <is>
          <t>Laser and photobiological safety (bar-code readers, 3D projectors)</t>
        </is>
      </c>
      <c r="C27" s="5" t="inlineStr">
        <is>
          <t>雷射與光生物安全（條碼讀取器、3D 投影器）</t>
        </is>
      </c>
    </row>
    <row r="28">
      <c r="A28" s="5" t="inlineStr">
        <is>
          <t>EN 280</t>
        </is>
      </c>
      <c r="B28" s="5" t="inlineStr">
        <is>
          <t>Mobile elevating work platforms (shelf service at height)</t>
        </is>
      </c>
      <c r="C28" s="5" t="inlineStr">
        <is>
          <t>移動式升降工作平台（高處料架作業）</t>
        </is>
      </c>
    </row>
    <row r="29">
      <c r="A29" s="5" t="inlineStr">
        <is>
          <t>EN 12845 / NFPA 13</t>
        </is>
      </c>
      <c r="B29" s="5" t="inlineStr">
        <is>
          <t>Automatic sprinkler systems (fire load of stored goods)</t>
        </is>
      </c>
      <c r="C29" s="5" t="inlineStr">
        <is>
          <t>自動灑水系統（儲存貨物火載量）</t>
        </is>
      </c>
    </row>
    <row r="31">
      <c r="A31" s="1" t="inlineStr">
        <is>
          <t>Verification &amp; validation before release · 放行前驗證</t>
        </is>
      </c>
    </row>
    <row r="33" ht="32" customHeight="1">
      <c r="A33" s="3" t="inlineStr">
        <is>
          <t>No.</t>
        </is>
      </c>
      <c r="B33" s="3" t="inlineStr">
        <is>
          <t>Check (EN)</t>
        </is>
      </c>
      <c r="C33" s="3" t="inlineStr">
        <is>
          <t>檢查項目（繁中）</t>
        </is>
      </c>
    </row>
    <row r="34">
      <c r="A34" s="4" t="n">
        <v>1</v>
      </c>
      <c r="B34" s="5" t="inlineStr">
        <is>
          <t>Digital layout (stations/logistics_application/verify.js, 4 × 1 h): 0 reach failures, 0 A1 wraps, R1 A4 0° / A6 ±23°, longest wait on a resource 8 s, longest time without a sorted carton 42 s; 0 images with a gripper in the 3D field of view, 0 bin moves under a gripper, 0 belt moves under a placing / picking gripper, 0 lane moves under a sorter; robot ↔ robot ≥ 0.25 m, robot ↔ fixed equipment ≥ 0.058 m, R1 0 shelf contacts, arm ≥ 0.02 m inside the shelf face outside the served column, carried bin 0 contacts with the port heads; cartons and bins conserved, no order over-sorted.</t>
        </is>
      </c>
      <c r="C34" s="5" t="inlineStr">
        <is>
          <t>數位佈局（stations/logistics_application/verify.js，4 × 1 h）：可達性失敗 0、A1 繞轉 0、R1 A4 0°／A6 ±23°、資源最長等待 8 s、最長無分揀紙箱時間 42 s；夾爪位於 3D 視野時拍攝 0 次、夾爪下方料箱移動 0 次、放置／取件夾爪下方輸送帶移動 0 次、分揀機器人下方通道移動 0 次；機器人間 ≥ 0.25 m、機器人與固定設備 ≥ 0.058 m、R1 料架接觸 0 次、服務欄位外手臂於料架面內 ≥ 0.02 m、搬運料箱與埠口輸送頭接觸 0 次；紙箱與料箱守恆、無訂單超量分揀。</t>
        </is>
      </c>
    </row>
    <row r="35">
      <c r="A35" s="4" t="n">
        <v>2</v>
      </c>
      <c r="B35" s="5" t="inlineStr">
        <is>
          <t>Safety functions SF1–SF7: PL verification per ISO 13849-2 (SISTEMA); functional test of every door, scanner field (coverage.py 100 % incl. the ring interior from the R1 pedestal), E-stop, both muting sequences (bin / case passing, interruption without), lane interlock; curtain distances measured against the ABB stopping data (ISO 13855: restock 1730 ≤ 1850 mm, put wall 528 ≤ 970 mm).</t>
        </is>
      </c>
      <c r="C35" s="5" t="inlineStr">
        <is>
          <t>安全功能 SF1–SF7：依 ISO 13849-2（SISTEMA）驗證 PL；逐一功能測試各門、掃描器防護區（coverage.py 100 %，含 R1 基座監視之圓環內部）、緊急停止、兩種遮蔽順序（料箱／訂單箱通過、無通過時遮斷）、通道互鎖；以 ABB 停止資料量測光幕距離（ISO 13855：補貨 1730 ≤ 1850 mm、放置牆 528 ≤ 970 mm）。</t>
        </is>
      </c>
    </row>
    <row r="36">
      <c r="A36" s="4" t="n">
        <v>3</v>
      </c>
      <c r="B36" s="5" t="inlineStr">
        <is>
          <t>Shelf: load test per level, anchor torque, plumb / level tolerances (EN 15620); fork bin-present sensor and back stops tested with a full bin on every level</t>
        </is>
      </c>
      <c r="C36" s="5" t="inlineStr">
        <is>
          <t>料架：各層載重測試、地錨扭力、垂直／水平公差（EN 15620）；於每一層以滿載料箱測試貨叉料箱感測器與後擋</t>
        </is>
      </c>
    </row>
    <row r="37">
      <c r="A37" s="4" t="n">
        <v>4</v>
      </c>
      <c r="B37" s="5" t="inlineStr">
        <is>
          <t>Robot stopping distances measured in reduced automatic and compared with the ABB data; vacuum hold on air loss tested with the heaviest carton</t>
        </is>
      </c>
      <c r="C37" s="5" t="inlineStr">
        <is>
          <t>於降速自動下量測機器人停止距離並與 ABB 資料比較；以最重紙箱測試斷氣時真空保持</t>
        </is>
      </c>
    </row>
    <row r="38">
      <c r="A38" s="4" t="n">
        <v>5</v>
      </c>
      <c r="B38" s="5" t="inlineStr">
        <is>
          <t>Electrical layout check in the digital layout (engine/tools/verify_electrical.js): 0 issues — every junction box, cabinet and robot on a routed tray, junction-box ports, cordsets ≤ 10 m on carriers, fill ≤ 40 %, service areas clear, spans ≤ 2.5 m / 6 m, no floor bridge or cordset across a flow path or lane; robot-to-installation clearance ≥ 0.3 m (measured 0.37 m)</t>
        </is>
      </c>
      <c r="C38" s="5" t="inlineStr">
        <is>
          <t>數位佈局電氣檢查（engine/tools/verify_electrical.js）：0 項問題 — 所有接線盒、電櫃與機器人皆連接線槽路徑、接線盒埠數、感測器電纜 ≤ 10 m 且沿載體敷設、填充率 ≤ 40 %、維修區淨空、跨距 ≤ 2.5 m／6 m、無地面線槽或感測器電纜橫越物流路徑或車道；機器人與電氣設施間隙 ≥ 0.3 m（實測 0.37 m）</t>
        </is>
      </c>
    </row>
    <row r="39">
      <c r="A39" s="4" t="n">
        <v>6</v>
      </c>
      <c r="B39" s="5" t="inlineStr">
        <is>
          <t>On site: IEC 60204-1 §18 tests (PE continuity, insulation resistance, voltage test, residual voltage); service areas free and marked; tray supports anchored and load-checked; tray clearance over every lane measured with the real vehicle and load</t>
        </is>
      </c>
      <c r="C39" s="5" t="inlineStr">
        <is>
          <t>現場：IEC 60204-1 §18 測試（保護接地連續性、絕緣電阻、耐壓、殘餘電壓）；維修區淨空並標示；線槽支撐錨定並確認荷重；以實際車輛與貨物量測各車道上方線槽淨高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2026-10-20T01:59:59Z</dcterms:created>
  <dcterms:modified xmlns:dcterms="http://purl.org/dc/terms/" xmlns:xsi="http://www.w3.org/2001/XMLSchema-instance" xsi:type="dcterms:W3CDTF">2026-10-20T01:59:59Z</dcterms:modified>
</cp:coreProperties>
</file>